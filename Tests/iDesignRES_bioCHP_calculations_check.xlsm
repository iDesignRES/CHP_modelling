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tef-my.sharepoint.com/personal/gonzalo_alamo_sintef_no/Documents/Documents/iDesignRES/"/>
    </mc:Choice>
  </mc:AlternateContent>
  <xr:revisionPtr revIDLastSave="1031" documentId="8_{3609ECB4-9DC3-4DF5-AC6D-5E785FDBA0F0}" xr6:coauthVersionLast="47" xr6:coauthVersionMax="47" xr10:uidLastSave="{44036EFC-7800-4996-AA3D-10BAEE5D8440}"/>
  <bookViews>
    <workbookView xWindow="-120" yWindow="-120" windowWidth="29040" windowHeight="17520" activeTab="1" xr2:uid="{0BACD2F8-7B2E-48A9-8B72-52AA9319C627}"/>
  </bookViews>
  <sheets>
    <sheet name="Caculation_check" sheetId="2" r:id="rId1"/>
    <sheet name="Comparison" sheetId="4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4" l="1"/>
  <c r="P6" i="4"/>
  <c r="Q6" i="4"/>
  <c r="R6" i="4"/>
  <c r="O7" i="4"/>
  <c r="P7" i="4"/>
  <c r="Q7" i="4"/>
  <c r="R7" i="4"/>
  <c r="O8" i="4"/>
  <c r="P8" i="4"/>
  <c r="Q8" i="4"/>
  <c r="R8" i="4"/>
  <c r="O9" i="4"/>
  <c r="P9" i="4"/>
  <c r="Q9" i="4"/>
  <c r="R9" i="4"/>
  <c r="P5" i="4"/>
  <c r="Q5" i="4"/>
  <c r="R5" i="4"/>
  <c r="O5" i="4"/>
  <c r="Y9" i="4"/>
  <c r="Y8" i="4"/>
  <c r="Y7" i="4"/>
  <c r="Y6" i="4"/>
  <c r="Y5" i="4"/>
  <c r="D4" i="4"/>
  <c r="D14" i="2"/>
  <c r="E68" i="2"/>
  <c r="F68" i="2"/>
  <c r="G68" i="2"/>
  <c r="E69" i="2"/>
  <c r="F69" i="2"/>
  <c r="G69" i="2"/>
  <c r="D69" i="2"/>
  <c r="D68" i="2"/>
  <c r="D73" i="2" s="1"/>
  <c r="D46" i="2" a="1"/>
  <c r="D70" i="2" l="1"/>
  <c r="D79" i="2" s="1"/>
  <c r="G70" i="2"/>
  <c r="G78" i="2" s="1"/>
  <c r="F70" i="2"/>
  <c r="F78" i="2" s="1"/>
  <c r="E70" i="2"/>
  <c r="E78" i="2" s="1"/>
  <c r="D46" i="2"/>
  <c r="D100" i="2"/>
  <c r="D101" i="2" s="1"/>
  <c r="D64" i="2"/>
  <c r="D65" i="2" s="1"/>
  <c r="D67" i="2" s="1"/>
  <c r="E39" i="2"/>
  <c r="D39" i="2"/>
  <c r="D28" i="2"/>
  <c r="E19" i="2"/>
  <c r="D19" i="2"/>
  <c r="G104" i="2"/>
  <c r="G105" i="2" s="1"/>
  <c r="F104" i="2"/>
  <c r="F105" i="2" s="1"/>
  <c r="E104" i="2"/>
  <c r="E105" i="2" s="1"/>
  <c r="D104" i="2"/>
  <c r="D105" i="2" s="1"/>
  <c r="G100" i="2"/>
  <c r="G101" i="2" s="1"/>
  <c r="F100" i="2"/>
  <c r="F101" i="2" s="1"/>
  <c r="E100" i="2"/>
  <c r="E101" i="2" s="1"/>
  <c r="G88" i="2"/>
  <c r="F88" i="2"/>
  <c r="E88" i="2"/>
  <c r="D88" i="2"/>
  <c r="D71" i="2"/>
  <c r="G66" i="2"/>
  <c r="F66" i="2"/>
  <c r="E66" i="2"/>
  <c r="D66" i="2"/>
  <c r="G64" i="2"/>
  <c r="G65" i="2" s="1"/>
  <c r="G67" i="2" s="1"/>
  <c r="F64" i="2"/>
  <c r="F65" i="2" s="1"/>
  <c r="F67" i="2" s="1"/>
  <c r="E64" i="2"/>
  <c r="E20" i="2" a="1"/>
  <c r="E31" i="2" a="1"/>
  <c r="D27" i="2" a="1"/>
  <c r="D20" i="2" a="1"/>
  <c r="D26" i="2" a="1"/>
  <c r="D29" i="2" a="1"/>
  <c r="D31" i="2" a="1"/>
  <c r="E30" i="2" a="1"/>
  <c r="D30" i="2" a="1"/>
  <c r="E29" i="2" a="1"/>
  <c r="D44" i="2" a="1"/>
  <c r="E33" i="2" a="1"/>
  <c r="E34" i="2" a="1"/>
  <c r="D34" i="2" a="1"/>
  <c r="D33" i="2" a="1"/>
  <c r="D78" i="2" l="1"/>
  <c r="D91" i="2"/>
  <c r="D90" i="2"/>
  <c r="D89" i="2"/>
  <c r="E34" i="2"/>
  <c r="D34" i="2"/>
  <c r="D33" i="2"/>
  <c r="D31" i="2"/>
  <c r="E30" i="2"/>
  <c r="D30" i="2"/>
  <c r="E31" i="2"/>
  <c r="D29" i="2"/>
  <c r="E20" i="2"/>
  <c r="D44" i="2"/>
  <c r="D48" i="2" s="1"/>
  <c r="D26" i="2"/>
  <c r="D27" i="2"/>
  <c r="E29" i="2"/>
  <c r="E33" i="2"/>
  <c r="D20" i="2"/>
  <c r="G73" i="2"/>
  <c r="G79" i="2" s="1"/>
  <c r="F71" i="2"/>
  <c r="D92" i="2"/>
  <c r="G71" i="2"/>
  <c r="F73" i="2"/>
  <c r="F79" i="2" s="1"/>
  <c r="E65" i="2"/>
  <c r="E67" i="2" s="1"/>
  <c r="D120" i="2" s="1"/>
  <c r="E73" i="2"/>
  <c r="E79" i="2" s="1"/>
  <c r="E71" i="2"/>
  <c r="E74" i="2" s="1"/>
  <c r="E75" i="2" s="1"/>
  <c r="E77" i="2" s="1"/>
  <c r="D21" i="2" a="1"/>
  <c r="E21" i="2" a="1"/>
  <c r="E89" i="2" l="1"/>
  <c r="F89" i="2" s="1"/>
  <c r="G89" i="2" s="1"/>
  <c r="E91" i="2"/>
  <c r="F91" i="2" s="1"/>
  <c r="G91" i="2" s="1"/>
  <c r="E92" i="2"/>
  <c r="F92" i="2" s="1"/>
  <c r="G92" i="2" s="1"/>
  <c r="E90" i="2"/>
  <c r="F90" i="2" s="1"/>
  <c r="G90" i="2" s="1"/>
  <c r="D32" i="2"/>
  <c r="D35" i="2" s="1"/>
  <c r="D37" i="2" s="1"/>
  <c r="D40" i="2" s="1"/>
  <c r="G74" i="2"/>
  <c r="G75" i="2" s="1"/>
  <c r="G77" i="2" s="1"/>
  <c r="F74" i="2"/>
  <c r="F75" i="2" s="1"/>
  <c r="F77" i="2" s="1"/>
  <c r="D74" i="2"/>
  <c r="D75" i="2" s="1"/>
  <c r="D76" i="2" s="1"/>
  <c r="E76" i="2"/>
  <c r="E80" i="2" s="1"/>
  <c r="E21" i="2"/>
  <c r="D21" i="2"/>
  <c r="G76" i="2" l="1"/>
  <c r="G80" i="2" s="1"/>
  <c r="F76" i="2"/>
  <c r="F80" i="2" s="1"/>
  <c r="D38" i="2"/>
  <c r="E27" i="2" s="1"/>
  <c r="E32" i="2" s="1"/>
  <c r="E35" i="2" s="1"/>
  <c r="E26" i="2"/>
  <c r="E82" i="2"/>
  <c r="D77" i="2"/>
  <c r="D80" i="2" s="1"/>
  <c r="E81" i="2"/>
  <c r="E83" i="2"/>
  <c r="E84" i="2"/>
  <c r="E85" i="2" l="1"/>
  <c r="E86" i="2" s="1"/>
  <c r="E37" i="2"/>
  <c r="E40" i="2" s="1"/>
  <c r="D49" i="2" s="1"/>
  <c r="D50" i="2" s="1"/>
  <c r="E93" i="2"/>
  <c r="F81" i="2"/>
  <c r="G82" i="2"/>
  <c r="G81" i="2"/>
  <c r="F84" i="2"/>
  <c r="G84" i="2"/>
  <c r="F83" i="2"/>
  <c r="G83" i="2"/>
  <c r="D82" i="2"/>
  <c r="F82" i="2"/>
  <c r="E137" i="2" l="1"/>
  <c r="F137" i="2" s="1"/>
  <c r="G85" i="2"/>
  <c r="G86" i="2" s="1"/>
  <c r="F85" i="2"/>
  <c r="F86" i="2" s="1"/>
  <c r="E94" i="2"/>
  <c r="E38" i="2"/>
  <c r="F93" i="2"/>
  <c r="E95" i="2"/>
  <c r="E107" i="2" s="1"/>
  <c r="E108" i="2" s="1"/>
  <c r="G93" i="2"/>
  <c r="D84" i="2"/>
  <c r="D83" i="2"/>
  <c r="D81" i="2"/>
  <c r="D85" i="2" l="1"/>
  <c r="D86" i="2" s="1"/>
  <c r="D93" i="2"/>
  <c r="G94" i="2"/>
  <c r="G95" i="2" s="1"/>
  <c r="G107" i="2" s="1"/>
  <c r="G108" i="2" s="1"/>
  <c r="F94" i="2"/>
  <c r="F95" i="2" s="1"/>
  <c r="F107" i="2" s="1"/>
  <c r="F108" i="2" s="1"/>
  <c r="D94" i="2" l="1"/>
  <c r="D95" i="2" s="1"/>
  <c r="D107" i="2" l="1"/>
  <c r="D108" i="2" s="1"/>
  <c r="D47" i="2" s="1"/>
  <c r="D110" i="2" l="1"/>
  <c r="D5" i="4" s="1"/>
  <c r="D126" i="2" l="1"/>
  <c r="D125" i="2"/>
  <c r="D121" i="2"/>
  <c r="D6" i="4" s="1"/>
  <c r="D124" i="2"/>
  <c r="D123" i="2"/>
  <c r="D122" i="2"/>
  <c r="D111" i="2"/>
  <c r="F157" i="2" s="1"/>
  <c r="D157" i="2" s="1"/>
  <c r="D118" i="2"/>
  <c r="D117" i="2"/>
  <c r="D116" i="2"/>
  <c r="D115" i="2"/>
  <c r="D130" i="2"/>
  <c r="D113" i="2"/>
  <c r="F159" i="2" s="1"/>
  <c r="D159" i="2" s="1"/>
  <c r="D114" i="2"/>
  <c r="F160" i="2" s="1"/>
  <c r="D160" i="2" s="1"/>
  <c r="D112" i="2"/>
  <c r="F158" i="2" s="1"/>
  <c r="D158" i="2" s="1"/>
  <c r="E136" i="2"/>
  <c r="F136" i="2" s="1"/>
  <c r="E138" i="2"/>
  <c r="F138" i="2" s="1"/>
  <c r="D131" i="2"/>
  <c r="E135" i="2"/>
  <c r="F135" i="2" s="1"/>
  <c r="F161" i="2"/>
  <c r="D161" i="2" s="1"/>
  <c r="F162" i="2" l="1"/>
  <c r="D162" i="2" s="1"/>
  <c r="D141" i="2"/>
  <c r="D143" i="2" s="1"/>
  <c r="D132" i="2"/>
  <c r="F163" i="2" s="1"/>
  <c r="D163" i="2" s="1"/>
  <c r="D144" i="2"/>
  <c r="D156" i="2" l="1"/>
  <c r="D9" i="4" s="1"/>
  <c r="D142" i="2"/>
  <c r="D166" i="2" s="1"/>
  <c r="D148" i="2" l="1"/>
  <c r="D147" i="2"/>
  <c r="D145" i="2"/>
  <c r="D167" i="2" s="1"/>
  <c r="D165" i="2"/>
  <c r="D146" i="2"/>
  <c r="D149" i="2" s="1"/>
  <c r="D150" i="2" s="1"/>
  <c r="D151" i="2" s="1"/>
  <c r="D152" i="2" l="1"/>
  <c r="D7" i="4" s="1"/>
  <c r="D164" i="2" l="1"/>
  <c r="D168" i="2" s="1"/>
  <c r="D8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<sst xmlns="http://schemas.openxmlformats.org/spreadsheetml/2006/main" count="271" uniqueCount="200">
  <si>
    <t>Feedstock</t>
  </si>
  <si>
    <t>spruce_stem</t>
  </si>
  <si>
    <t>birch_stem</t>
  </si>
  <si>
    <t>spruce_TandB</t>
  </si>
  <si>
    <t>spruce_bark</t>
  </si>
  <si>
    <t>Y</t>
  </si>
  <si>
    <t>n_H</t>
  </si>
  <si>
    <t>n_O</t>
  </si>
  <si>
    <t>nu_O2</t>
  </si>
  <si>
    <t>nu_CO2</t>
  </si>
  <si>
    <t>n_H2O</t>
  </si>
  <si>
    <t>W_CHxOy</t>
  </si>
  <si>
    <t>vn_stoich</t>
  </si>
  <si>
    <t>vn_O2_g</t>
  </si>
  <si>
    <t>vn_air</t>
  </si>
  <si>
    <t>vn_N2_g</t>
  </si>
  <si>
    <t>vn_CO2_g</t>
  </si>
  <si>
    <t>vn_g</t>
  </si>
  <si>
    <t>X_O2_g</t>
  </si>
  <si>
    <t>X_N2_g</t>
  </si>
  <si>
    <t>X_CO2_g</t>
  </si>
  <si>
    <t>W_g</t>
  </si>
  <si>
    <t>cp_O2_g</t>
  </si>
  <si>
    <t>Tg (deg.C)</t>
  </si>
  <si>
    <t>(Tg + 273.15)/1000</t>
  </si>
  <si>
    <t>cp_N2_g</t>
  </si>
  <si>
    <t>cp_CO2_g</t>
  </si>
  <si>
    <t>cp_H2O_g</t>
  </si>
  <si>
    <t>cp_g</t>
  </si>
  <si>
    <t>ht_g</t>
  </si>
  <si>
    <t>m_ba</t>
  </si>
  <si>
    <t>ht_ba</t>
  </si>
  <si>
    <t>T_ba</t>
  </si>
  <si>
    <t>yC_ba</t>
  </si>
  <si>
    <t>f_ba</t>
  </si>
  <si>
    <t>cp_ba</t>
  </si>
  <si>
    <t>m_fa</t>
  </si>
  <si>
    <t>ht_fa</t>
  </si>
  <si>
    <t>T_fa</t>
  </si>
  <si>
    <t>cp_fa</t>
  </si>
  <si>
    <t>h_stm</t>
  </si>
  <si>
    <t>q_loss</t>
  </si>
  <si>
    <t>q_out</t>
  </si>
  <si>
    <t>f_loss</t>
  </si>
  <si>
    <t>m_g</t>
  </si>
  <si>
    <t>hf</t>
  </si>
  <si>
    <t>Rankine cycle</t>
  </si>
  <si>
    <t>P_stm</t>
  </si>
  <si>
    <t>T_bfw</t>
  </si>
  <si>
    <t>h_bfw</t>
  </si>
  <si>
    <t>m_stm</t>
  </si>
  <si>
    <t>Qk</t>
  </si>
  <si>
    <t>Tk_in</t>
  </si>
  <si>
    <t>Tk_out</t>
  </si>
  <si>
    <t>M_bleed</t>
  </si>
  <si>
    <t>T_bleed</t>
  </si>
  <si>
    <t>P_bleed</t>
  </si>
  <si>
    <t>Steam turbine</t>
  </si>
  <si>
    <t>P_out</t>
  </si>
  <si>
    <t>P_in</t>
  </si>
  <si>
    <t>T_in</t>
  </si>
  <si>
    <t>h_in</t>
  </si>
  <si>
    <t>s_in</t>
  </si>
  <si>
    <t>S_sat_v(P_out)</t>
  </si>
  <si>
    <t>S_sat_c(P_out)</t>
  </si>
  <si>
    <t>q_vapor_out</t>
  </si>
  <si>
    <t>hs_out</t>
  </si>
  <si>
    <t>h_sat_v(P_out)</t>
  </si>
  <si>
    <t>h_sat_c(P_out)</t>
  </si>
  <si>
    <t>h_out</t>
  </si>
  <si>
    <t>mu_isent</t>
  </si>
  <si>
    <t>qs_vapor_out</t>
  </si>
  <si>
    <t>eff_m</t>
  </si>
  <si>
    <t>w_el_stage</t>
  </si>
  <si>
    <t>M_stm</t>
  </si>
  <si>
    <t>Tsat_out</t>
  </si>
  <si>
    <t>LHV</t>
  </si>
  <si>
    <t>LHV_dry</t>
  </si>
  <si>
    <t>vn_H2O_g</t>
  </si>
  <si>
    <t>Q_out</t>
  </si>
  <si>
    <t>HHV_dry</t>
  </si>
  <si>
    <t>q_stm</t>
  </si>
  <si>
    <t>Q_stm</t>
  </si>
  <si>
    <t>biomass_storage_and_feeding</t>
  </si>
  <si>
    <t>biomass_stoker_boiler_power</t>
  </si>
  <si>
    <t>Equipment</t>
  </si>
  <si>
    <t>S</t>
  </si>
  <si>
    <t>S (unit)</t>
  </si>
  <si>
    <t>Sb</t>
  </si>
  <si>
    <t>t/h (feed)</t>
  </si>
  <si>
    <t>n</t>
  </si>
  <si>
    <t>Cb (M$)</t>
  </si>
  <si>
    <t>Year_b</t>
  </si>
  <si>
    <t>f_inst</t>
  </si>
  <si>
    <t>Cpi</t>
  </si>
  <si>
    <t>Ib</t>
  </si>
  <si>
    <t>I</t>
  </si>
  <si>
    <t>MW (steam)</t>
  </si>
  <si>
    <t>dry scrubber</t>
  </si>
  <si>
    <t>t/h (flue gas)</t>
  </si>
  <si>
    <t>CAPEX</t>
  </si>
  <si>
    <t>Land</t>
  </si>
  <si>
    <t>Site preparation</t>
  </si>
  <si>
    <t>Buildings</t>
  </si>
  <si>
    <t>Commissioning</t>
  </si>
  <si>
    <t>Engineering</t>
  </si>
  <si>
    <t>Project development</t>
  </si>
  <si>
    <t>Contigency</t>
  </si>
  <si>
    <t>Total investment</t>
  </si>
  <si>
    <t>OPEX</t>
  </si>
  <si>
    <t>Variable</t>
  </si>
  <si>
    <t>M$</t>
  </si>
  <si>
    <t>M$/year</t>
  </si>
  <si>
    <t>Q_unit</t>
  </si>
  <si>
    <t>Q_annual</t>
  </si>
  <si>
    <t>t</t>
  </si>
  <si>
    <t>kg</t>
  </si>
  <si>
    <t>Unit price</t>
  </si>
  <si>
    <t>Electric load</t>
  </si>
  <si>
    <t>kw/(t/h)</t>
  </si>
  <si>
    <t>kW</t>
  </si>
  <si>
    <t>Total</t>
  </si>
  <si>
    <t>kwh</t>
  </si>
  <si>
    <t>Fixed</t>
  </si>
  <si>
    <t xml:space="preserve">   Maintenance</t>
  </si>
  <si>
    <t xml:space="preserve">   Insurance</t>
  </si>
  <si>
    <t xml:space="preserve">   Administration</t>
  </si>
  <si>
    <t xml:space="preserve">   birch_stem</t>
  </si>
  <si>
    <t xml:space="preserve">  spruce stem</t>
  </si>
  <si>
    <t xml:space="preserve">   spruce_TandB</t>
  </si>
  <si>
    <t xml:space="preserve">   spruce_bark</t>
  </si>
  <si>
    <t xml:space="preserve">   lime</t>
  </si>
  <si>
    <t xml:space="preserve">   Filter cake disposal</t>
  </si>
  <si>
    <t xml:space="preserve">   electricity</t>
  </si>
  <si>
    <t>Total operating costs</t>
  </si>
  <si>
    <t>Equipment, C_eq</t>
  </si>
  <si>
    <t>% C_eq</t>
  </si>
  <si>
    <t>Piping, C_piping</t>
  </si>
  <si>
    <t>Instrumentation&amp;Control, C_I&amp;C</t>
  </si>
  <si>
    <t>Electric system, C_el</t>
  </si>
  <si>
    <t>Y_H2O</t>
  </si>
  <si>
    <t>Y_C</t>
  </si>
  <si>
    <t>Y_H</t>
  </si>
  <si>
    <t xml:space="preserve">Y_O </t>
  </si>
  <si>
    <t xml:space="preserve">Y_N </t>
  </si>
  <si>
    <t xml:space="preserve">Y_S </t>
  </si>
  <si>
    <t>Y_Cl</t>
  </si>
  <si>
    <t>Y_ash</t>
  </si>
  <si>
    <t>Inputs</t>
  </si>
  <si>
    <t>fuel_def</t>
  </si>
  <si>
    <t>Yj</t>
  </si>
  <si>
    <t>YH2Oj</t>
  </si>
  <si>
    <t>W_el (MW)</t>
  </si>
  <si>
    <t>Qk (MW)</t>
  </si>
  <si>
    <t>Tk_in (deg. C)</t>
  </si>
  <si>
    <t>Tk_out (deg. C)</t>
  </si>
  <si>
    <t>District heating demands</t>
  </si>
  <si>
    <t>RANKINE CYCLE</t>
  </si>
  <si>
    <t>Steam production</t>
  </si>
  <si>
    <t>Steam temperature, T_stm (deg. C)</t>
  </si>
  <si>
    <t>Stage</t>
  </si>
  <si>
    <t>Power production (MW)</t>
  </si>
  <si>
    <t>Solid fuel Boiler</t>
  </si>
  <si>
    <t>% C_eq+C_piping+C_I&amp;C+C_el</t>
  </si>
  <si>
    <t>% C_eq+C_piping+C_I&amp;C+C_el+C_land+C_site+C_building+C_commissioning</t>
  </si>
  <si>
    <t>% C_eq+C_piping+C_I&amp;C+C_el+C_land+C_site+C_building+C_commissioning+C_eng</t>
  </si>
  <si>
    <t>% C_eq+C_piping+C_I&amp;C+C_el+C_land+C_site+C_building+C_commissioning+C_eng+C_dev</t>
  </si>
  <si>
    <t>M_fuel</t>
  </si>
  <si>
    <t>Mass flows</t>
  </si>
  <si>
    <t>M_g</t>
  </si>
  <si>
    <t>M_ba</t>
  </si>
  <si>
    <t>M_fa</t>
  </si>
  <si>
    <t>M_air</t>
  </si>
  <si>
    <t>Energy flows</t>
  </si>
  <si>
    <t>Biomass, Hf</t>
  </si>
  <si>
    <t>LHV_f</t>
  </si>
  <si>
    <t>Q_loss</t>
  </si>
  <si>
    <t>Ht_g</t>
  </si>
  <si>
    <t>Ht_ba</t>
  </si>
  <si>
    <t>Ht_fa</t>
  </si>
  <si>
    <t>Biomass_mass_input_(t/h)</t>
  </si>
  <si>
    <t>num</t>
  </si>
  <si>
    <t>Biomass_energy_input_(MW)</t>
  </si>
  <si>
    <t>Heat_production_(MW)</t>
  </si>
  <si>
    <t>Electricity_production_(MW)</t>
  </si>
  <si>
    <t>C_inv</t>
  </si>
  <si>
    <t>C_op_mat</t>
  </si>
  <si>
    <t>C_op_el</t>
  </si>
  <si>
    <t>C_op_maint</t>
  </si>
  <si>
    <t>C_op_ins</t>
  </si>
  <si>
    <t>C_op_adm</t>
  </si>
  <si>
    <t>C_op</t>
  </si>
  <si>
    <t>C_op_var</t>
  </si>
  <si>
    <t>Code</t>
  </si>
  <si>
    <t>Excel</t>
  </si>
  <si>
    <t>Power output (MW)</t>
  </si>
  <si>
    <t>plant</t>
  </si>
  <si>
    <t>bioCHP_PLANT</t>
  </si>
  <si>
    <t>Mj</t>
  </si>
  <si>
    <t>Hfj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</si>
</sst>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"/>
    <numFmt numFmtId="165" formatCode="0.00000"/>
    <numFmt numFmtId="171" formatCode="0.0%"/>
    <numFmt numFmtId="173" formatCode="0.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onsolas"/>
      <family val="3"/>
    </font>
    <font>
      <sz val="11"/>
      <color rgb="FFCCCCCC"/>
      <name val="Consolas"/>
      <family val="3"/>
    </font>
    <font>
      <sz val="11"/>
      <color rgb="FF9CDCFE"/>
      <name val="Consolas"/>
      <family val="3"/>
    </font>
    <font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onsolas"/>
      <family val="3"/>
    </font>
    <font>
      <sz val="12"/>
      <color rgb="FF0070C0"/>
      <name val="Calibri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8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0" xfId="0" applyFont="1" applyBorder="1" applyAlignment="1">
      <alignment vertical="top" wrapText="1"/>
    </xf>
    <xf numFmtId="0" fontId="2" fillId="0" borderId="1" xfId="0" applyFont="1" applyBorder="1" applyAlignment="1">
      <alignment vertical="center"/>
    </xf>
    <xf numFmtId="0" fontId="9" fillId="0" borderId="0" xfId="0" applyFont="1"/>
    <xf numFmtId="0" fontId="9" fillId="0" borderId="1" xfId="0" applyFont="1" applyBorder="1"/>
    <xf numFmtId="0" fontId="10" fillId="0" borderId="0" xfId="0" applyFont="1"/>
    <xf numFmtId="164" fontId="9" fillId="0" borderId="1" xfId="0" applyNumberFormat="1" applyFont="1" applyBorder="1"/>
    <xf numFmtId="3" fontId="9" fillId="0" borderId="1" xfId="0" applyNumberFormat="1" applyFont="1" applyBorder="1"/>
    <xf numFmtId="0" fontId="9" fillId="0" borderId="2" xfId="0" applyFont="1" applyBorder="1" applyAlignment="1">
      <alignment vertical="center" wrapText="1"/>
    </xf>
    <xf numFmtId="0" fontId="9" fillId="0" borderId="3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/>
    </xf>
    <xf numFmtId="16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/>
    </xf>
    <xf numFmtId="165" fontId="9" fillId="0" borderId="1" xfId="0" applyNumberFormat="1" applyFont="1" applyBorder="1"/>
    <xf numFmtId="171" fontId="9" fillId="0" borderId="1" xfId="0" applyNumberFormat="1" applyFont="1" applyBorder="1"/>
    <xf numFmtId="0" fontId="9" fillId="0" borderId="1" xfId="0" applyFont="1" applyBorder="1" applyAlignment="1">
      <alignment horizontal="left"/>
    </xf>
    <xf numFmtId="0" fontId="10" fillId="0" borderId="1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0" xfId="0" applyFont="1" applyBorder="1"/>
    <xf numFmtId="11" fontId="0" fillId="0" borderId="0" xfId="0" applyNumberFormat="1"/>
    <xf numFmtId="173" fontId="0" fillId="0" borderId="0" xfId="0" applyNumberFormat="1"/>
  </cellXfs>
  <cellStyles count="1">
    <cellStyle name="Normal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auto="1"/>
          <bgColor theme="3"/>
        </patternFill>
      </fill>
    </dxf>
    <dxf>
      <font>
        <color theme="1"/>
      </font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1" defaultTableStyle="Sintef" defaultPivotStyle="PivotStyleLight16">
    <tableStyle name="Sintef" pivot="0" count="7" xr9:uid="{2F7DDD9D-D07E-454C-B368-8079547A2C3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14520017576986"/>
          <c:y val="7.1183018397092526E-2"/>
          <c:w val="0.75203881189059507"/>
          <c:h val="0.79564317971513487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Comparison!$E$4:$H$4</c:f>
              <c:numCache>
                <c:formatCode>General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500</c:v>
                </c:pt>
              </c:numCache>
            </c:numRef>
          </c:xVal>
          <c:yVal>
            <c:numRef>
              <c:f>Comparison!$E$5:$H$5</c:f>
              <c:numCache>
                <c:formatCode>0.0</c:formatCode>
                <c:ptCount val="4"/>
                <c:pt idx="0">
                  <c:v>158.10764224263224</c:v>
                </c:pt>
                <c:pt idx="1">
                  <c:v>229.85781732875984</c:v>
                </c:pt>
                <c:pt idx="2">
                  <c:v>445.1083425871426</c:v>
                </c:pt>
                <c:pt idx="3">
                  <c:v>732.10904293165311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05-4AAC-9FF9-236D6CE8031C}"/>
            </c:ext>
          </c:extLst>
        </c:ser>
        <c:ser>
          <c:idx val="0"/>
          <c:order val="1"/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Comparison!$E$4:$H$4</c:f>
              <c:numCache>
                <c:formatCode>General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500</c:v>
                </c:pt>
              </c:numCache>
            </c:numRef>
          </c:xVal>
          <c:yVal>
            <c:numRef>
              <c:f>Comparison!$J$5:$M$5</c:f>
              <c:numCache>
                <c:formatCode>General</c:formatCode>
                <c:ptCount val="4"/>
                <c:pt idx="0" formatCode="0.0">
                  <c:v>158.23699999999999</c:v>
                </c:pt>
                <c:pt idx="1">
                  <c:v>230.042</c:v>
                </c:pt>
                <c:pt idx="2">
                  <c:v>445.45800000000003</c:v>
                </c:pt>
                <c:pt idx="3">
                  <c:v>732.67899999999997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05-4AAC-9FF9-236D6CE80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182447"/>
        <c:axId val="970184367"/>
      </c:scatterChart>
      <c:valAx>
        <c:axId val="970182447"/>
        <c:scaling>
          <c:orientation val="minMax"/>
          <c:max val="5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84367"/>
        <c:crosses val="autoZero"/>
        <c:crossBetween val="midCat"/>
      </c:valAx>
      <c:valAx>
        <c:axId val="970184367"/>
        <c:scaling>
          <c:orientation val="minMax"/>
          <c:min val="10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8244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14520017576986"/>
          <c:y val="7.1183018397092526E-2"/>
          <c:w val="0.75203881189059507"/>
          <c:h val="0.79564317971513487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Comparison!$E$4:$H$4</c:f>
              <c:numCache>
                <c:formatCode>General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500</c:v>
                </c:pt>
              </c:numCache>
            </c:numRef>
          </c:xVal>
          <c:yVal>
            <c:numRef>
              <c:f>Comparison!$E$6:$H$6</c:f>
              <c:numCache>
                <c:formatCode>0.0</c:formatCode>
                <c:ptCount val="4"/>
                <c:pt idx="0">
                  <c:v>408.97341488888213</c:v>
                </c:pt>
                <c:pt idx="1">
                  <c:v>594.56794850932283</c:v>
                </c:pt>
                <c:pt idx="2">
                  <c:v>1151.3515493706445</c:v>
                </c:pt>
                <c:pt idx="3">
                  <c:v>1893.7296838524071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EE-4808-B733-BEF52FA8E777}"/>
            </c:ext>
          </c:extLst>
        </c:ser>
        <c:ser>
          <c:idx val="0"/>
          <c:order val="1"/>
          <c:marker>
            <c:symbol val="none"/>
          </c:marker>
          <c:xVal>
            <c:numRef>
              <c:f>Comparison!$E$4:$H$4</c:f>
              <c:numCache>
                <c:formatCode>General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500</c:v>
                </c:pt>
              </c:numCache>
            </c:numRef>
          </c:xVal>
          <c:yVal>
            <c:numRef>
              <c:f>Comparison!$J$6:$M$6</c:f>
              <c:numCache>
                <c:formatCode>General</c:formatCode>
                <c:ptCount val="4"/>
                <c:pt idx="0" formatCode="0.0">
                  <c:v>409.30799999999999</c:v>
                </c:pt>
                <c:pt idx="1">
                  <c:v>595.04499999999996</c:v>
                </c:pt>
                <c:pt idx="2">
                  <c:v>1152.26</c:v>
                </c:pt>
                <c:pt idx="3">
                  <c:v>1895.2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EE-4808-B733-BEF52FA8E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182447"/>
        <c:axId val="970184367"/>
      </c:scatterChart>
      <c:valAx>
        <c:axId val="970182447"/>
        <c:scaling>
          <c:orientation val="minMax"/>
          <c:max val="5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84367"/>
        <c:crosses val="autoZero"/>
        <c:crossBetween val="midCat"/>
      </c:valAx>
      <c:valAx>
        <c:axId val="970184367"/>
        <c:scaling>
          <c:orientation val="minMax"/>
          <c:min val="10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8244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14520017576986"/>
          <c:y val="7.1183018397092526E-2"/>
          <c:w val="0.75203881189059507"/>
          <c:h val="0.79564317971513487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Comparison!$E$4:$H$4</c:f>
              <c:numCache>
                <c:formatCode>General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500</c:v>
                </c:pt>
              </c:numCache>
            </c:numRef>
          </c:xVal>
          <c:yVal>
            <c:numRef>
              <c:f>Comparison!$E$7:$H$7</c:f>
              <c:numCache>
                <c:formatCode>0.0</c:formatCode>
                <c:ptCount val="4"/>
                <c:pt idx="0">
                  <c:v>319.71013800227092</c:v>
                </c:pt>
                <c:pt idx="1">
                  <c:v>407.89386195558916</c:v>
                </c:pt>
                <c:pt idx="2">
                  <c:v>628.71501504486548</c:v>
                </c:pt>
                <c:pt idx="3">
                  <c:v>872.55749018454492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D8-48ED-B613-5B342BC135F3}"/>
            </c:ext>
          </c:extLst>
        </c:ser>
        <c:ser>
          <c:idx val="0"/>
          <c:order val="1"/>
          <c:marker>
            <c:symbol val="none"/>
          </c:marker>
          <c:xVal>
            <c:numRef>
              <c:f>Comparison!$E$4:$H$4</c:f>
              <c:numCache>
                <c:formatCode>General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500</c:v>
                </c:pt>
              </c:numCache>
            </c:numRef>
          </c:xVal>
          <c:yVal>
            <c:numRef>
              <c:f>Comparison!$J$7:$M$7</c:f>
              <c:numCache>
                <c:formatCode>General</c:formatCode>
                <c:ptCount val="4"/>
                <c:pt idx="0" formatCode="0.0">
                  <c:v>317.94200000000001</c:v>
                </c:pt>
                <c:pt idx="1">
                  <c:v>405.64499999999998</c:v>
                </c:pt>
                <c:pt idx="2">
                  <c:v>625.27</c:v>
                </c:pt>
                <c:pt idx="3">
                  <c:v>867.80099999999993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D8-48ED-B613-5B342BC13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182447"/>
        <c:axId val="970184367"/>
      </c:scatterChart>
      <c:valAx>
        <c:axId val="970182447"/>
        <c:scaling>
          <c:orientation val="minMax"/>
          <c:max val="5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84367"/>
        <c:crosses val="autoZero"/>
        <c:crossBetween val="midCat"/>
      </c:valAx>
      <c:valAx>
        <c:axId val="970184367"/>
        <c:scaling>
          <c:orientation val="minMax"/>
          <c:min val="10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18244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247649</xdr:colOff>
      <xdr:row>16</xdr:row>
      <xdr:rowOff>138111</xdr:rowOff>
    </xdr:from>
    <xdr:to>
      <xdr:col>10</xdr:col>
      <xdr:colOff>38099</xdr:colOff>
      <xdr:row>38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B3BE94-470C-6BF0-B9DE-8454E3860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114300</xdr:colOff>
      <xdr:row>16</xdr:row>
      <xdr:rowOff>123825</xdr:rowOff>
    </xdr:from>
    <xdr:to>
      <xdr:col>18</xdr:col>
      <xdr:colOff>200025</xdr:colOff>
      <xdr:row>38</xdr:row>
      <xdr:rowOff>52389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4B8404-CDD0-40D6-B524-5A015BE31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0</xdr:rowOff>
    </xdr:from>
    <xdr:to>
      <xdr:col>9</xdr:col>
      <xdr:colOff>495300</xdr:colOff>
      <xdr:row>62</xdr:row>
      <xdr:rowOff>119064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F35B68-F01A-46E1-A103-4F724E616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0.27609</cdr:x>
      <cdr:y>0.93064</cdr:y>
    </cdr:from>
    <cdr:to>
      <cdr:x>0.83492</cdr:x>
      <cdr:y>0.98844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46688D-8BC0-00F1-9898-FF5AA0F132E7}"/>
            </a:ext>
          </a:extLst>
        </cdr:cNvPr>
        <cdr:cNvSpPr txBox="1"/>
      </cdr:nvSpPr>
      <cdr:spPr>
        <a:xfrm xmlns:a="http://schemas.openxmlformats.org/drawingml/2006/main">
          <a:off x="1201809" y="3833814"/>
          <a:ext cx="2432517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/>
            <a:t>Electric power production (MW) </a:t>
          </a:r>
        </a:p>
      </cdr:txBody>
    </cdr:sp>
  </cdr:relSizeAnchor>
  <cdr:relSizeAnchor xmlns:cdr="http://schemas.openxmlformats.org/drawingml/2006/chartDrawing">
    <cdr:from>
      <cdr:x>0.00075</cdr:x>
      <cdr:y>0.21156</cdr:y>
    </cdr:from>
    <cdr:to>
      <cdr:x>0.05732</cdr:x>
      <cdr:y>0.77803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175EB16-C84E-CFDB-5351-A1B920296144}"/>
            </a:ext>
          </a:extLst>
        </cdr:cNvPr>
        <cdr:cNvSpPr txBox="1"/>
      </cdr:nvSpPr>
      <cdr:spPr>
        <a:xfrm xmlns:a="http://schemas.openxmlformats.org/drawingml/2006/main" rot="16200000">
          <a:off x="-1044572" y="1919288"/>
          <a:ext cx="233362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kern="1200"/>
            <a:t>Input biomass, mass flow rate (t/h) 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0.27609</cdr:x>
      <cdr:y>0.93064</cdr:y>
    </cdr:from>
    <cdr:to>
      <cdr:x>0.83492</cdr:x>
      <cdr:y>0.98844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46688D-8BC0-00F1-9898-FF5AA0F132E7}"/>
            </a:ext>
          </a:extLst>
        </cdr:cNvPr>
        <cdr:cNvSpPr txBox="1"/>
      </cdr:nvSpPr>
      <cdr:spPr>
        <a:xfrm xmlns:a="http://schemas.openxmlformats.org/drawingml/2006/main">
          <a:off x="1201809" y="3833814"/>
          <a:ext cx="2432517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/>
            <a:t>Electric power production (MW) </a:t>
          </a:r>
        </a:p>
      </cdr:txBody>
    </cdr:sp>
  </cdr:relSizeAnchor>
  <cdr:relSizeAnchor xmlns:cdr="http://schemas.openxmlformats.org/drawingml/2006/chartDrawing">
    <cdr:from>
      <cdr:x>0.00075</cdr:x>
      <cdr:y>0.21156</cdr:y>
    </cdr:from>
    <cdr:to>
      <cdr:x>0.05732</cdr:x>
      <cdr:y>0.77803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175EB16-C84E-CFDB-5351-A1B920296144}"/>
            </a:ext>
          </a:extLst>
        </cdr:cNvPr>
        <cdr:cNvSpPr txBox="1"/>
      </cdr:nvSpPr>
      <cdr:spPr>
        <a:xfrm xmlns:a="http://schemas.openxmlformats.org/drawingml/2006/main" rot="16200000">
          <a:off x="-1044572" y="1919288"/>
          <a:ext cx="233362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kern="1200"/>
            <a:t>Input biomass, mass flow rate (t/h)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0.27609</cdr:x>
      <cdr:y>0.93064</cdr:y>
    </cdr:from>
    <cdr:to>
      <cdr:x>0.83492</cdr:x>
      <cdr:y>0.98844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46688D-8BC0-00F1-9898-FF5AA0F132E7}"/>
            </a:ext>
          </a:extLst>
        </cdr:cNvPr>
        <cdr:cNvSpPr txBox="1"/>
      </cdr:nvSpPr>
      <cdr:spPr>
        <a:xfrm xmlns:a="http://schemas.openxmlformats.org/drawingml/2006/main">
          <a:off x="1201809" y="3833814"/>
          <a:ext cx="2432517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/>
            <a:t>Electric power production (MW) </a:t>
          </a:r>
        </a:p>
      </cdr:txBody>
    </cdr:sp>
  </cdr:relSizeAnchor>
  <cdr:relSizeAnchor xmlns:cdr="http://schemas.openxmlformats.org/drawingml/2006/chartDrawing">
    <cdr:from>
      <cdr:x>0.00075</cdr:x>
      <cdr:y>0.21156</cdr:y>
    </cdr:from>
    <cdr:to>
      <cdr:x>0.05732</cdr:x>
      <cdr:y>0.77803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175EB16-C84E-CFDB-5351-A1B920296144}"/>
            </a:ext>
          </a:extLst>
        </cdr:cNvPr>
        <cdr:cNvSpPr txBox="1"/>
      </cdr:nvSpPr>
      <cdr:spPr>
        <a:xfrm xmlns:a="http://schemas.openxmlformats.org/drawingml/2006/main" rot="16200000">
          <a:off x="-1044572" y="1919288"/>
          <a:ext cx="233362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kern="1200"/>
            <a:t>Input biomass, mass flow rate (t/h)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INTEF">
      <a:dk1>
        <a:sysClr val="windowText" lastClr="000000"/>
      </a:dk1>
      <a:lt1>
        <a:sysClr val="window" lastClr="FFFFFF"/>
      </a:lt1>
      <a:dk2>
        <a:srgbClr val="003C65"/>
      </a:dk2>
      <a:lt2>
        <a:srgbClr val="EBEBE6"/>
      </a:lt2>
      <a:accent1>
        <a:srgbClr val="14B978"/>
      </a:accent1>
      <a:accent2>
        <a:srgbClr val="CDFAE1"/>
      </a:accent2>
      <a:accent3>
        <a:srgbClr val="004628"/>
      </a:accent3>
      <a:accent4>
        <a:srgbClr val="C89B14"/>
      </a:accent4>
      <a:accent5>
        <a:srgbClr val="BE3C37"/>
      </a:accent5>
      <a:accent6>
        <a:srgbClr val="78005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654-3C4D-4ADC-A24A-60BDF212FCB2}">
  <sheetPr codeName="Sheet2"/>
  <dimension ref="C2:M192"/>
  <sheetViews>
    <sheetView zoomScale="62" zoomScaleNormal="84" workbookViewId="0">
      <selection activeCell="D7" sqref="D7"/>
    </sheetView>
  </sheetViews>
  <sheetFormatPr defaultColWidth="9.140625" defaultRowHeight="15.75" x14ac:dyDescent="0.25"/>
  <cols>
    <col min="1" max="2" width="12.42578125" style="1" customWidth="1"/>
    <col min="3" max="3" width="36.85546875" style="1" customWidth="1"/>
    <col min="4" max="4" width="16" style="1" customWidth="1"/>
    <col min="5" max="6" width="15.140625" style="1" customWidth="1"/>
    <col min="7" max="7" width="15.42578125" style="1" customWidth="1"/>
    <col min="8" max="8" width="12.140625" style="1" bestFit="1" customWidth="1"/>
    <col min="9" max="9" width="14.140625" style="1" bestFit="1" customWidth="1"/>
    <col min="10" max="10" width="9.28515625" style="1" bestFit="1" customWidth="1"/>
    <col min="11" max="16384" width="9.140625" style="1"/>
  </cols>
  <sheetData>
    <row r="2" spans="3:13" ht="21" x14ac:dyDescent="0.35">
      <c r="C2" s="4" t="s">
        <v>148</v>
      </c>
    </row>
    <row r="3" spans="3:13" ht="31.5" x14ac:dyDescent="0.25">
      <c r="C3" s="9" t="s">
        <v>149</v>
      </c>
      <c r="D3" s="9" t="s">
        <v>1</v>
      </c>
      <c r="E3" s="9" t="s">
        <v>2</v>
      </c>
      <c r="F3" s="9" t="s">
        <v>3</v>
      </c>
      <c r="G3" s="9" t="s">
        <v>4</v>
      </c>
    </row>
    <row r="4" spans="3:13" x14ac:dyDescent="0.25">
      <c r="C4" s="9" t="s">
        <v>150</v>
      </c>
      <c r="D4" s="10">
        <v>0.1</v>
      </c>
      <c r="E4" s="10">
        <v>0.3</v>
      </c>
      <c r="F4" s="10">
        <v>0.4</v>
      </c>
      <c r="G4" s="10">
        <v>0.2</v>
      </c>
    </row>
    <row r="5" spans="3:13" x14ac:dyDescent="0.25">
      <c r="C5" s="11" t="s">
        <v>151</v>
      </c>
      <c r="D5" s="10">
        <v>0.4</v>
      </c>
      <c r="E5" s="10">
        <v>0.35</v>
      </c>
      <c r="F5" s="10">
        <v>0.45</v>
      </c>
      <c r="G5" s="10">
        <v>0.5</v>
      </c>
    </row>
    <row r="6" spans="3:13" x14ac:dyDescent="0.25">
      <c r="C6" s="7" t="s">
        <v>152</v>
      </c>
      <c r="D6" s="8">
        <v>500</v>
      </c>
      <c r="E6" s="8"/>
      <c r="F6" s="8"/>
      <c r="G6" s="8"/>
    </row>
    <row r="7" spans="3:13" x14ac:dyDescent="0.25">
      <c r="C7" s="7" t="s">
        <v>153</v>
      </c>
      <c r="D7" s="8">
        <v>30</v>
      </c>
      <c r="E7" s="8">
        <v>40</v>
      </c>
      <c r="F7" s="7"/>
      <c r="G7" s="7"/>
    </row>
    <row r="8" spans="3:13" x14ac:dyDescent="0.25">
      <c r="C8" s="7" t="s">
        <v>154</v>
      </c>
      <c r="D8" s="8">
        <v>70</v>
      </c>
      <c r="E8" s="8">
        <v>50</v>
      </c>
      <c r="F8" s="7"/>
      <c r="G8" s="7"/>
    </row>
    <row r="9" spans="3:13" x14ac:dyDescent="0.25">
      <c r="C9" s="7" t="s">
        <v>155</v>
      </c>
      <c r="D9" s="8">
        <v>90</v>
      </c>
      <c r="E9" s="8">
        <v>80</v>
      </c>
      <c r="F9" s="7"/>
      <c r="G9" s="7"/>
    </row>
    <row r="13" spans="3:13" x14ac:dyDescent="0.25">
      <c r="C13" s="6" t="s">
        <v>157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3:13" x14ac:dyDescent="0.25">
      <c r="C14" s="12" t="s">
        <v>161</v>
      </c>
      <c r="D14" s="14">
        <f>D6</f>
        <v>500</v>
      </c>
      <c r="E14" s="13"/>
      <c r="F14" s="13"/>
      <c r="G14" s="13"/>
      <c r="H14" s="13"/>
      <c r="I14" s="13"/>
      <c r="J14" s="13"/>
      <c r="K14" s="13"/>
      <c r="L14" s="13"/>
      <c r="M14" s="13"/>
    </row>
    <row r="15" spans="3:13" x14ac:dyDescent="0.25">
      <c r="C15" s="15" t="s">
        <v>156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3:13" x14ac:dyDescent="0.25">
      <c r="C16" s="14" t="s">
        <v>51</v>
      </c>
      <c r="D16" s="14">
        <v>30</v>
      </c>
      <c r="E16" s="14">
        <v>40</v>
      </c>
      <c r="F16" s="13"/>
      <c r="G16" s="13"/>
      <c r="H16" s="13"/>
      <c r="I16" s="13"/>
      <c r="J16" s="13"/>
      <c r="K16" s="13"/>
      <c r="L16" s="13"/>
      <c r="M16" s="13"/>
    </row>
    <row r="17" spans="3:13" x14ac:dyDescent="0.25">
      <c r="C17" s="14" t="s">
        <v>52</v>
      </c>
      <c r="D17" s="14">
        <v>70</v>
      </c>
      <c r="E17" s="14">
        <v>50</v>
      </c>
      <c r="F17" s="13"/>
      <c r="G17" s="13"/>
      <c r="H17" s="13"/>
      <c r="I17" s="13"/>
      <c r="J17" s="13"/>
      <c r="K17" s="13"/>
      <c r="L17" s="13"/>
      <c r="M17" s="13"/>
    </row>
    <row r="18" spans="3:13" x14ac:dyDescent="0.25">
      <c r="C18" s="14" t="s">
        <v>53</v>
      </c>
      <c r="D18" s="14">
        <v>90</v>
      </c>
      <c r="E18" s="14">
        <v>80</v>
      </c>
      <c r="F18" s="13"/>
      <c r="G18" s="13"/>
      <c r="H18" s="13"/>
      <c r="I18" s="13"/>
      <c r="J18" s="13"/>
      <c r="K18" s="13"/>
      <c r="L18" s="13"/>
      <c r="M18" s="13"/>
    </row>
    <row r="19" spans="3:13" x14ac:dyDescent="0.25">
      <c r="C19" s="14" t="s">
        <v>55</v>
      </c>
      <c r="D19" s="14">
        <f>D18+25</f>
        <v>115</v>
      </c>
      <c r="E19" s="14">
        <f>E18+25</f>
        <v>105</v>
      </c>
      <c r="F19" s="13"/>
      <c r="G19" s="13"/>
      <c r="H19" s="13"/>
      <c r="I19" s="13"/>
      <c r="J19" s="13"/>
      <c r="K19" s="13"/>
      <c r="L19" s="13"/>
      <c r="M19" s="13"/>
    </row>
    <row r="20" spans="3:13" x14ac:dyDescent="0.25">
      <c r="C20" s="14" t="s">
        <v>56</v>
      </c>
      <c r="D20" s="16" cm="1">
        <f t="array" ref="D20">PSatWater(D19)</f>
        <v>1.6908413497995098</v>
      </c>
      <c r="E20" s="16" cm="1">
        <f t="array" ref="E20">PSatWater(E19)</f>
        <v>1.2081622262875391</v>
      </c>
      <c r="F20" s="13"/>
      <c r="G20" s="13"/>
      <c r="H20" s="13"/>
      <c r="I20" s="13"/>
      <c r="J20" s="13"/>
      <c r="K20" s="13"/>
      <c r="L20" s="13"/>
      <c r="M20" s="13"/>
    </row>
    <row r="21" spans="3:13" x14ac:dyDescent="0.25">
      <c r="C21" s="14" t="s">
        <v>54</v>
      </c>
      <c r="D21" s="16" cm="1">
        <f t="array" ref="D21">D16*1000/(hPSatSteam(D20)-hTWater(D19-5))</f>
        <v>13.404895890290751</v>
      </c>
      <c r="E21" s="16" cm="1">
        <f t="array" ref="E21">E16*1000/(hPSatSteam(E20)-hTWater(E19-5))</f>
        <v>17.660735036440649</v>
      </c>
      <c r="F21" s="13"/>
      <c r="G21" s="13"/>
      <c r="H21" s="13"/>
      <c r="I21" s="13"/>
      <c r="J21" s="13"/>
      <c r="K21" s="13"/>
      <c r="L21" s="13"/>
      <c r="M21" s="13"/>
    </row>
    <row r="22" spans="3:13" x14ac:dyDescent="0.25">
      <c r="C22" s="15" t="s">
        <v>57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3:13" x14ac:dyDescent="0.25">
      <c r="C23" s="14" t="s">
        <v>160</v>
      </c>
      <c r="D23" s="14">
        <v>1</v>
      </c>
      <c r="E23" s="14">
        <v>2</v>
      </c>
      <c r="F23" s="13"/>
      <c r="G23" s="13"/>
      <c r="H23" s="13"/>
      <c r="I23" s="13"/>
      <c r="J23" s="13"/>
      <c r="K23" s="13"/>
      <c r="L23" s="13"/>
      <c r="M23" s="13"/>
    </row>
    <row r="24" spans="3:13" x14ac:dyDescent="0.25">
      <c r="C24" s="14" t="s">
        <v>59</v>
      </c>
      <c r="D24" s="14">
        <v>100</v>
      </c>
      <c r="E24" s="17">
        <v>1691</v>
      </c>
      <c r="F24" s="13"/>
      <c r="G24" s="13"/>
      <c r="H24" s="13"/>
      <c r="I24" s="13"/>
      <c r="J24" s="13"/>
      <c r="K24" s="13"/>
      <c r="L24" s="13"/>
      <c r="M24" s="13"/>
    </row>
    <row r="25" spans="3:13" x14ac:dyDescent="0.25">
      <c r="C25" s="14" t="s">
        <v>60</v>
      </c>
      <c r="D25" s="14">
        <v>450</v>
      </c>
      <c r="E25" s="14">
        <v>115</v>
      </c>
      <c r="F25" s="13"/>
      <c r="G25" s="13"/>
      <c r="H25" s="13"/>
      <c r="I25" s="13"/>
      <c r="J25" s="13"/>
      <c r="K25" s="13"/>
      <c r="L25" s="13"/>
      <c r="M25" s="13"/>
    </row>
    <row r="26" spans="3:13" x14ac:dyDescent="0.25">
      <c r="C26" s="14" t="s">
        <v>61</v>
      </c>
      <c r="D26" s="14" cm="1">
        <f t="array" ref="D26">hPTSupSteam(D24,D25)</f>
        <v>3242.9847771936693</v>
      </c>
      <c r="E26" s="14">
        <f>D37</f>
        <v>2697.6079672904507</v>
      </c>
      <c r="F26" s="13"/>
      <c r="G26" s="13"/>
      <c r="H26" s="13"/>
      <c r="I26" s="13"/>
      <c r="J26" s="13"/>
      <c r="K26" s="13"/>
      <c r="L26" s="13"/>
      <c r="M26" s="13"/>
    </row>
    <row r="27" spans="3:13" x14ac:dyDescent="0.25">
      <c r="C27" s="14" t="s">
        <v>62</v>
      </c>
      <c r="D27" s="16" cm="1">
        <f t="array" ref="D27">sPTSupSteam(D24,D25)</f>
        <v>6.4235311297461966</v>
      </c>
      <c r="E27" s="14">
        <f>D30*D38+D31*(1-D38)</f>
        <v>7.1801230795506905</v>
      </c>
      <c r="F27" s="13"/>
      <c r="G27" s="13"/>
      <c r="H27" s="13"/>
      <c r="I27" s="13"/>
      <c r="J27" s="13"/>
      <c r="K27" s="13"/>
      <c r="L27" s="13"/>
      <c r="M27" s="13"/>
    </row>
    <row r="28" spans="3:13" x14ac:dyDescent="0.25">
      <c r="C28" s="14" t="s">
        <v>58</v>
      </c>
      <c r="D28" s="14">
        <f>1.691</f>
        <v>1.6910000000000001</v>
      </c>
      <c r="E28" s="14">
        <v>3.2000000000000001E-2</v>
      </c>
      <c r="F28" s="13"/>
      <c r="G28" s="13"/>
      <c r="H28" s="13"/>
      <c r="I28" s="13"/>
      <c r="J28" s="13"/>
      <c r="K28" s="13"/>
      <c r="L28" s="13"/>
      <c r="M28" s="13"/>
    </row>
    <row r="29" spans="3:13" x14ac:dyDescent="0.25">
      <c r="C29" s="14" t="s">
        <v>75</v>
      </c>
      <c r="D29" s="14" cm="1">
        <f t="array" ref="D29">TSatWater(D28)</f>
        <v>115.00959005203717</v>
      </c>
      <c r="E29" s="14" cm="1">
        <f t="array" ref="E29">TSatWater(E28)</f>
        <v>25.174274310466124</v>
      </c>
      <c r="F29" s="13"/>
      <c r="G29" s="13"/>
      <c r="H29" s="13"/>
      <c r="I29" s="13"/>
      <c r="J29" s="13"/>
      <c r="K29" s="13"/>
      <c r="L29" s="13"/>
      <c r="M29" s="13"/>
    </row>
    <row r="30" spans="3:13" x14ac:dyDescent="0.25">
      <c r="C30" s="14" t="s">
        <v>63</v>
      </c>
      <c r="D30" s="14" cm="1">
        <f t="array" ref="D30">sPSatSteam(D28)</f>
        <v>7.1836676621776858</v>
      </c>
      <c r="E30" s="14" cm="1">
        <f t="array" ref="E30">sPSatSteam(E28)</f>
        <v>8.5529930481900536</v>
      </c>
      <c r="F30" s="13"/>
      <c r="G30" s="13"/>
      <c r="H30" s="13"/>
      <c r="I30" s="13"/>
      <c r="J30" s="13"/>
      <c r="K30" s="13"/>
      <c r="L30" s="13"/>
      <c r="M30" s="13"/>
    </row>
    <row r="31" spans="3:13" x14ac:dyDescent="0.25">
      <c r="C31" s="14" t="s">
        <v>64</v>
      </c>
      <c r="D31" s="14" cm="1">
        <f t="array" ref="D31">sPWater(D28)</f>
        <v>1.4735159229115351</v>
      </c>
      <c r="E31" s="14" cm="1">
        <f t="array" ref="E31">sPWater(E28)</f>
        <v>0.36954236056008172</v>
      </c>
      <c r="F31" s="13"/>
      <c r="G31" s="13"/>
      <c r="H31" s="13"/>
      <c r="I31" s="13"/>
      <c r="J31" s="13"/>
      <c r="K31" s="13"/>
      <c r="L31" s="13"/>
      <c r="M31" s="13"/>
    </row>
    <row r="32" spans="3:13" x14ac:dyDescent="0.25">
      <c r="C32" s="14" t="s">
        <v>71</v>
      </c>
      <c r="D32" s="14">
        <f>(D27-D31)/(D30-D31)</f>
        <v>0.86687980159890132</v>
      </c>
      <c r="E32" s="14">
        <f>(E27-E31)/(E30-E31)</f>
        <v>0.83223825485811509</v>
      </c>
      <c r="F32" s="13"/>
      <c r="G32" s="13"/>
      <c r="H32" s="13"/>
      <c r="I32" s="13"/>
      <c r="J32" s="13"/>
      <c r="K32" s="13"/>
      <c r="L32" s="13"/>
      <c r="M32" s="13"/>
    </row>
    <row r="33" spans="3:13" x14ac:dyDescent="0.25">
      <c r="C33" s="14" t="s">
        <v>67</v>
      </c>
      <c r="D33" s="14" cm="1">
        <f t="array" ref="D33">hPSatSteam(D28)</f>
        <v>2698.9837655111978</v>
      </c>
      <c r="E33" s="14" cm="1">
        <f t="array" ref="E33">hPSatSteam(E28)</f>
        <v>2547.2403863124305</v>
      </c>
      <c r="F33" s="13"/>
      <c r="G33" s="13"/>
      <c r="H33" s="13"/>
      <c r="I33" s="13"/>
      <c r="J33" s="13"/>
      <c r="K33" s="13"/>
      <c r="L33" s="13"/>
      <c r="M33" s="13"/>
    </row>
    <row r="34" spans="3:13" x14ac:dyDescent="0.25">
      <c r="C34" s="14" t="s">
        <v>68</v>
      </c>
      <c r="D34" s="14" cm="1">
        <f t="array" ref="D34">hPWater(D28)</f>
        <v>482.63915465426965</v>
      </c>
      <c r="E34" s="14" cm="1">
        <f t="array" ref="E34">hPWater(E28)</f>
        <v>104.77688916156538</v>
      </c>
      <c r="F34" s="13"/>
      <c r="G34" s="13"/>
      <c r="H34" s="13"/>
      <c r="I34" s="13"/>
      <c r="J34" s="13"/>
      <c r="K34" s="13"/>
      <c r="L34" s="13"/>
      <c r="M34" s="13"/>
    </row>
    <row r="35" spans="3:13" x14ac:dyDescent="0.25">
      <c r="C35" s="14" t="s">
        <v>66</v>
      </c>
      <c r="D35" s="14">
        <f>D33*D32+D34*(1-D32)</f>
        <v>2403.9435311887178</v>
      </c>
      <c r="E35" s="14">
        <f>E33*E32+E34*(1-E32)</f>
        <v>2137.4884475850499</v>
      </c>
      <c r="F35" s="13"/>
      <c r="G35" s="13"/>
      <c r="H35" s="13"/>
      <c r="I35" s="13"/>
      <c r="J35" s="13"/>
      <c r="K35" s="13"/>
      <c r="L35" s="13"/>
      <c r="M35" s="13"/>
    </row>
    <row r="36" spans="3:13" x14ac:dyDescent="0.25">
      <c r="C36" s="14" t="s">
        <v>70</v>
      </c>
      <c r="D36" s="14">
        <v>0.65</v>
      </c>
      <c r="E36" s="14">
        <v>0.65</v>
      </c>
      <c r="F36" s="13"/>
      <c r="G36" s="13"/>
      <c r="H36" s="13"/>
      <c r="I36" s="13"/>
      <c r="J36" s="13"/>
      <c r="K36" s="13"/>
      <c r="L36" s="13"/>
      <c r="M36" s="13"/>
    </row>
    <row r="37" spans="3:13" x14ac:dyDescent="0.25">
      <c r="C37" s="14" t="s">
        <v>69</v>
      </c>
      <c r="D37" s="14">
        <f>D26-D36*(D26-D35)</f>
        <v>2697.6079672904507</v>
      </c>
      <c r="E37" s="14">
        <f>E26-E36*(E26-E35)</f>
        <v>2333.5302794819399</v>
      </c>
      <c r="F37" s="13"/>
      <c r="G37" s="13"/>
      <c r="H37" s="13"/>
      <c r="I37" s="13"/>
      <c r="J37" s="13"/>
      <c r="K37" s="13"/>
      <c r="L37" s="13"/>
      <c r="M37" s="13"/>
    </row>
    <row r="38" spans="3:13" x14ac:dyDescent="0.25">
      <c r="C38" s="14" t="s">
        <v>65</v>
      </c>
      <c r="D38" s="14">
        <f>(D37-D34)/(D33-D34)</f>
        <v>0.99937924896065</v>
      </c>
      <c r="E38" s="14">
        <f>(E37-E34)/(E33-E34)</f>
        <v>0.91250223101398098</v>
      </c>
      <c r="F38" s="13"/>
      <c r="G38" s="13"/>
      <c r="H38" s="13"/>
      <c r="I38" s="13"/>
      <c r="J38" s="13"/>
      <c r="K38" s="13"/>
      <c r="L38" s="13"/>
      <c r="M38" s="13"/>
    </row>
    <row r="39" spans="3:13" x14ac:dyDescent="0.25">
      <c r="C39" s="14" t="s">
        <v>72</v>
      </c>
      <c r="D39" s="14">
        <f>0.9</f>
        <v>0.9</v>
      </c>
      <c r="E39" s="14">
        <f>0.9</f>
        <v>0.9</v>
      </c>
      <c r="F39" s="13"/>
      <c r="G39" s="13"/>
      <c r="H39" s="13"/>
      <c r="I39" s="13"/>
      <c r="J39" s="13"/>
      <c r="K39" s="13"/>
      <c r="L39" s="13"/>
      <c r="M39" s="13"/>
    </row>
    <row r="40" spans="3:13" x14ac:dyDescent="0.25">
      <c r="C40" s="14" t="s">
        <v>73</v>
      </c>
      <c r="D40" s="14">
        <f>D39*(D26-D37)*0.001</f>
        <v>0.49083912891289677</v>
      </c>
      <c r="E40" s="14">
        <f>E39*(E26-E37)*0.001</f>
        <v>0.32766991902765968</v>
      </c>
      <c r="F40" s="13"/>
      <c r="G40" s="13"/>
      <c r="H40" s="13"/>
      <c r="I40" s="13"/>
      <c r="J40" s="13"/>
      <c r="K40" s="13"/>
      <c r="L40" s="13"/>
      <c r="M40" s="13"/>
    </row>
    <row r="41" spans="3:13" x14ac:dyDescent="0.25">
      <c r="C41" s="6" t="s">
        <v>158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</row>
    <row r="42" spans="3:13" x14ac:dyDescent="0.25">
      <c r="C42" s="14" t="s">
        <v>159</v>
      </c>
      <c r="D42" s="14">
        <v>450</v>
      </c>
      <c r="E42" s="13"/>
      <c r="F42" s="13"/>
      <c r="G42" s="13"/>
      <c r="H42" s="13"/>
      <c r="I42" s="13"/>
      <c r="J42" s="13"/>
      <c r="K42" s="13"/>
      <c r="L42" s="13"/>
      <c r="M42" s="13"/>
    </row>
    <row r="43" spans="3:13" x14ac:dyDescent="0.25">
      <c r="C43" s="14" t="s">
        <v>47</v>
      </c>
      <c r="D43" s="14">
        <v>100</v>
      </c>
      <c r="E43" s="13"/>
      <c r="F43" s="13"/>
      <c r="G43" s="13"/>
      <c r="H43" s="13"/>
      <c r="I43" s="13"/>
      <c r="J43" s="13"/>
      <c r="K43" s="13"/>
      <c r="L43" s="13"/>
      <c r="M43" s="13"/>
    </row>
    <row r="44" spans="3:13" x14ac:dyDescent="0.25">
      <c r="C44" s="14" t="s">
        <v>40</v>
      </c>
      <c r="D44" s="16" cm="1">
        <f t="array" ref="D44">hPTSupSteam(D43,D42)</f>
        <v>3242.9847771936693</v>
      </c>
      <c r="E44" s="13"/>
      <c r="F44" s="13"/>
      <c r="G44" s="13"/>
      <c r="H44" s="13"/>
      <c r="I44" s="13"/>
      <c r="J44" s="13"/>
      <c r="K44" s="13"/>
      <c r="L44" s="13"/>
      <c r="M44" s="13"/>
    </row>
    <row r="45" spans="3:13" x14ac:dyDescent="0.25">
      <c r="C45" s="14" t="s">
        <v>48</v>
      </c>
      <c r="D45" s="14">
        <v>105</v>
      </c>
      <c r="E45" s="13"/>
      <c r="F45" s="13"/>
      <c r="G45" s="13"/>
      <c r="H45" s="13"/>
      <c r="I45" s="13"/>
      <c r="J45" s="13"/>
      <c r="K45" s="13"/>
      <c r="L45" s="13"/>
      <c r="M45" s="13"/>
    </row>
    <row r="46" spans="3:13" x14ac:dyDescent="0.25">
      <c r="C46" s="14" t="s">
        <v>49</v>
      </c>
      <c r="D46" s="14" cm="1">
        <f t="array" ref="D46">hTWater(D45)</f>
        <v>439.92312656511149</v>
      </c>
      <c r="E46" s="13"/>
      <c r="F46" s="13"/>
      <c r="G46" s="13"/>
      <c r="H46" s="13"/>
      <c r="I46" s="13"/>
      <c r="J46" s="13"/>
      <c r="K46" s="13"/>
      <c r="L46" s="13"/>
      <c r="M46" s="13"/>
    </row>
    <row r="47" spans="3:13" x14ac:dyDescent="0.25">
      <c r="C47" s="14" t="s">
        <v>50</v>
      </c>
      <c r="D47" s="14">
        <f>SUMPRODUCT(D108:G108,D$54:G$54)/(0.001*(D44-D46))</f>
        <v>3.0649687818388158</v>
      </c>
      <c r="E47" s="13"/>
      <c r="F47" s="13"/>
      <c r="G47" s="13"/>
      <c r="H47" s="13"/>
      <c r="I47" s="13"/>
      <c r="J47" s="13"/>
      <c r="K47" s="13"/>
      <c r="L47" s="13"/>
      <c r="M47" s="13"/>
    </row>
    <row r="48" spans="3:13" x14ac:dyDescent="0.25">
      <c r="C48" s="14" t="s">
        <v>81</v>
      </c>
      <c r="D48" s="14">
        <f>0.001*(D44-D46)</f>
        <v>2.8030616506285577</v>
      </c>
      <c r="E48" s="13"/>
      <c r="F48" s="13"/>
      <c r="G48" s="13"/>
      <c r="H48" s="13"/>
      <c r="I48" s="13"/>
      <c r="J48" s="13"/>
      <c r="K48" s="13"/>
      <c r="L48" s="13"/>
      <c r="M48" s="13"/>
    </row>
    <row r="49" spans="3:13" x14ac:dyDescent="0.25">
      <c r="C49" s="14" t="s">
        <v>74</v>
      </c>
      <c r="D49" s="14">
        <f>(D14+E40*(D21+E21))/(D40+E40)</f>
        <v>623.30315596872504</v>
      </c>
      <c r="E49" s="13"/>
      <c r="F49" s="13"/>
      <c r="G49" s="13"/>
      <c r="H49" s="13"/>
      <c r="I49" s="13"/>
      <c r="J49" s="13"/>
      <c r="K49" s="13"/>
      <c r="L49" s="13"/>
      <c r="M49" s="13"/>
    </row>
    <row r="50" spans="3:13" x14ac:dyDescent="0.25">
      <c r="C50" s="14" t="s">
        <v>82</v>
      </c>
      <c r="D50" s="14">
        <f>D49*D48</f>
        <v>1747.1571732116838</v>
      </c>
      <c r="E50" s="13"/>
      <c r="F50" s="13"/>
      <c r="G50" s="13"/>
      <c r="H50" s="13"/>
      <c r="I50" s="13"/>
      <c r="J50" s="13"/>
      <c r="K50" s="13"/>
      <c r="L50" s="13"/>
      <c r="M50" s="13"/>
    </row>
    <row r="51" spans="3:13" x14ac:dyDescent="0.25"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</row>
    <row r="52" spans="3:13" ht="16.5" thickBot="1" x14ac:dyDescent="0.3">
      <c r="C52" s="15" t="s">
        <v>162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</row>
    <row r="53" spans="3:13" x14ac:dyDescent="0.25">
      <c r="C53" s="18" t="s">
        <v>0</v>
      </c>
      <c r="D53" s="19" t="s">
        <v>1</v>
      </c>
      <c r="E53" s="19" t="s">
        <v>2</v>
      </c>
      <c r="F53" s="19" t="s">
        <v>3</v>
      </c>
      <c r="G53" s="19" t="s">
        <v>4</v>
      </c>
      <c r="H53" s="13"/>
      <c r="I53" s="13"/>
      <c r="J53" s="13"/>
      <c r="K53" s="13"/>
      <c r="L53" s="13"/>
      <c r="M53" s="13"/>
    </row>
    <row r="54" spans="3:13" x14ac:dyDescent="0.25">
      <c r="C54" s="20" t="s">
        <v>5</v>
      </c>
      <c r="D54" s="20">
        <v>0.1</v>
      </c>
      <c r="E54" s="20">
        <v>0.3</v>
      </c>
      <c r="F54" s="20">
        <v>0.4</v>
      </c>
      <c r="G54" s="20">
        <v>0.2</v>
      </c>
      <c r="H54" s="13"/>
      <c r="I54" s="13"/>
      <c r="J54" s="13"/>
      <c r="K54" s="13"/>
      <c r="L54" s="13"/>
      <c r="M54" s="13"/>
    </row>
    <row r="55" spans="3:13" x14ac:dyDescent="0.25">
      <c r="C55" s="21" t="s">
        <v>140</v>
      </c>
      <c r="D55" s="20">
        <v>0.4</v>
      </c>
      <c r="E55" s="20">
        <v>0.35</v>
      </c>
      <c r="F55" s="20">
        <v>0.45</v>
      </c>
      <c r="G55" s="20">
        <v>0.5</v>
      </c>
      <c r="H55" s="13"/>
      <c r="I55" s="13"/>
      <c r="J55" s="13"/>
      <c r="K55" s="13"/>
      <c r="L55" s="13"/>
      <c r="M55" s="13"/>
    </row>
    <row r="56" spans="3:13" x14ac:dyDescent="0.25">
      <c r="C56" s="21" t="s">
        <v>141</v>
      </c>
      <c r="D56" s="20">
        <v>0.4738</v>
      </c>
      <c r="E56" s="20">
        <v>0.48620000000000002</v>
      </c>
      <c r="F56" s="20">
        <v>0.51529999999999998</v>
      </c>
      <c r="G56" s="20">
        <v>0.4909</v>
      </c>
      <c r="H56" s="13"/>
      <c r="I56" s="13"/>
      <c r="J56" s="13"/>
      <c r="K56" s="13"/>
      <c r="L56" s="13"/>
      <c r="M56" s="13"/>
    </row>
    <row r="57" spans="3:13" x14ac:dyDescent="0.25">
      <c r="C57" s="20" t="s">
        <v>142</v>
      </c>
      <c r="D57" s="20">
        <v>6.4000000000000001E-2</v>
      </c>
      <c r="E57" s="20">
        <v>6.3399999999999998E-2</v>
      </c>
      <c r="F57" s="20">
        <v>6.5100000000000005E-2</v>
      </c>
      <c r="G57" s="20">
        <v>6.0600000000000001E-2</v>
      </c>
      <c r="H57" s="13"/>
      <c r="I57" s="13"/>
      <c r="J57" s="13"/>
      <c r="K57" s="13"/>
      <c r="L57" s="13"/>
      <c r="M57" s="13"/>
    </row>
    <row r="58" spans="3:13" x14ac:dyDescent="0.25">
      <c r="C58" s="20" t="s">
        <v>143</v>
      </c>
      <c r="D58" s="20">
        <v>0.46100000000000002</v>
      </c>
      <c r="E58" s="20">
        <v>0.44900000000000001</v>
      </c>
      <c r="F58" s="20">
        <v>0.41499999999999998</v>
      </c>
      <c r="G58" s="20">
        <v>0.44379999999999997</v>
      </c>
      <c r="H58" s="13"/>
      <c r="I58" s="13"/>
      <c r="J58" s="13"/>
      <c r="K58" s="13"/>
      <c r="L58" s="13"/>
      <c r="M58" s="13"/>
    </row>
    <row r="59" spans="3:13" x14ac:dyDescent="0.25">
      <c r="C59" s="20" t="s">
        <v>144</v>
      </c>
      <c r="D59" s="20">
        <v>8.9999999999999998E-4</v>
      </c>
      <c r="E59" s="20">
        <v>8.9999999999999998E-4</v>
      </c>
      <c r="F59" s="20">
        <v>4.4000000000000003E-3</v>
      </c>
      <c r="G59" s="20">
        <v>4.4999999999999997E-3</v>
      </c>
      <c r="H59" s="13"/>
      <c r="I59" s="13"/>
      <c r="J59" s="13"/>
      <c r="K59" s="13"/>
      <c r="L59" s="13"/>
      <c r="M59" s="13"/>
    </row>
    <row r="60" spans="3:13" x14ac:dyDescent="0.25">
      <c r="C60" s="20" t="s">
        <v>145</v>
      </c>
      <c r="D60" s="20">
        <v>2.9999999999999997E-4</v>
      </c>
      <c r="E60" s="20">
        <v>5.0000000000000001E-4</v>
      </c>
      <c r="F60" s="20">
        <v>2.0000000000000001E-4</v>
      </c>
      <c r="G60" s="20">
        <v>2.0000000000000001E-4</v>
      </c>
      <c r="H60" s="13"/>
      <c r="I60" s="13"/>
      <c r="J60" s="13"/>
      <c r="K60" s="13"/>
      <c r="L60" s="13"/>
      <c r="M60" s="13"/>
    </row>
    <row r="61" spans="3:13" x14ac:dyDescent="0.25">
      <c r="C61" s="20" t="s">
        <v>146</v>
      </c>
      <c r="D61" s="20">
        <v>0</v>
      </c>
      <c r="E61" s="20">
        <v>0</v>
      </c>
      <c r="F61" s="20">
        <v>0</v>
      </c>
      <c r="G61" s="20">
        <v>0</v>
      </c>
      <c r="H61" s="13"/>
      <c r="I61" s="13"/>
      <c r="J61" s="13"/>
      <c r="K61" s="13"/>
      <c r="L61" s="13"/>
      <c r="M61" s="13"/>
    </row>
    <row r="62" spans="3:13" x14ac:dyDescent="0.25">
      <c r="C62" s="21" t="s">
        <v>147</v>
      </c>
      <c r="D62" s="20">
        <v>3.0000000000000001E-3</v>
      </c>
      <c r="E62" s="20">
        <v>2.2000000000000001E-3</v>
      </c>
      <c r="F62" s="20">
        <v>5.6899999999999999E-2</v>
      </c>
      <c r="G62" s="20">
        <v>2.53E-2</v>
      </c>
      <c r="H62" s="13"/>
      <c r="I62" s="13"/>
      <c r="J62" s="13"/>
      <c r="K62" s="13"/>
      <c r="L62" s="13"/>
      <c r="M62" s="13"/>
    </row>
    <row r="63" spans="3:13" x14ac:dyDescent="0.25">
      <c r="C63" s="21" t="s">
        <v>80</v>
      </c>
      <c r="D63" s="20">
        <v>19.899999999999999</v>
      </c>
      <c r="E63" s="20">
        <v>18.420000000000002</v>
      </c>
      <c r="F63" s="20">
        <v>19.940000000000001</v>
      </c>
      <c r="G63" s="20">
        <v>20.25</v>
      </c>
      <c r="H63" s="13"/>
      <c r="I63" s="13"/>
      <c r="J63" s="13"/>
      <c r="K63" s="13"/>
      <c r="L63" s="13"/>
      <c r="M63" s="13"/>
    </row>
    <row r="64" spans="3:13" x14ac:dyDescent="0.25">
      <c r="C64" s="20" t="s">
        <v>77</v>
      </c>
      <c r="D64" s="20">
        <f>D63-D57*(18/2)*2.5</f>
        <v>18.459999999999997</v>
      </c>
      <c r="E64" s="20">
        <f t="shared" ref="E64:G64" si="0">E63-E57*(18/2)*2.5</f>
        <v>16.993500000000001</v>
      </c>
      <c r="F64" s="20">
        <f t="shared" si="0"/>
        <v>18.475250000000003</v>
      </c>
      <c r="G64" s="20">
        <f t="shared" si="0"/>
        <v>18.886500000000002</v>
      </c>
      <c r="H64" s="13"/>
      <c r="I64" s="13"/>
      <c r="J64" s="13"/>
      <c r="K64" s="13"/>
      <c r="L64" s="13"/>
      <c r="M64" s="13"/>
    </row>
    <row r="65" spans="3:13" x14ac:dyDescent="0.25">
      <c r="C65" s="20" t="s">
        <v>76</v>
      </c>
      <c r="D65" s="20">
        <f>D64*(1-D55)-2.5*D55</f>
        <v>10.075999999999999</v>
      </c>
      <c r="E65" s="20">
        <f t="shared" ref="E65:G65" si="1">E64*(1-E55)-2.5*E55</f>
        <v>10.170775000000001</v>
      </c>
      <c r="F65" s="20">
        <f t="shared" si="1"/>
        <v>9.0363875000000018</v>
      </c>
      <c r="G65" s="20">
        <f t="shared" si="1"/>
        <v>8.1932500000000008</v>
      </c>
      <c r="H65" s="13"/>
      <c r="I65" s="13"/>
      <c r="J65" s="13"/>
      <c r="K65" s="13"/>
      <c r="L65" s="13"/>
      <c r="M65" s="13"/>
    </row>
    <row r="66" spans="3:13" x14ac:dyDescent="0.25">
      <c r="C66" s="20" t="s">
        <v>77</v>
      </c>
      <c r="D66" s="20">
        <f>D56*34.1+D57*102+D58*(-9.85)+D59*0+D60*19.1+0*D62</f>
        <v>18.149460000000005</v>
      </c>
      <c r="E66" s="20">
        <f t="shared" ref="E66:G66" si="2">E56*34.1+E57*102+E58*(-9.85)+E59*0+E60*19.1+0*E62</f>
        <v>18.633120000000002</v>
      </c>
      <c r="F66" s="20">
        <f t="shared" si="2"/>
        <v>20.128</v>
      </c>
      <c r="G66" s="20">
        <f t="shared" si="2"/>
        <v>18.553280000000001</v>
      </c>
      <c r="H66" s="13"/>
      <c r="I66" s="13"/>
      <c r="J66" s="13"/>
      <c r="K66" s="13"/>
      <c r="L66" s="13"/>
      <c r="M66" s="13"/>
    </row>
    <row r="67" spans="3:13" s="5" customFormat="1" x14ac:dyDescent="0.25">
      <c r="C67" s="22" t="s">
        <v>45</v>
      </c>
      <c r="D67" s="23">
        <f>D65</f>
        <v>10.075999999999999</v>
      </c>
      <c r="E67" s="23">
        <f>E65</f>
        <v>10.170775000000001</v>
      </c>
      <c r="F67" s="23">
        <f>F65</f>
        <v>9.0363875000000018</v>
      </c>
      <c r="G67" s="23">
        <f>G65</f>
        <v>8.1932500000000008</v>
      </c>
      <c r="H67" s="24"/>
      <c r="I67" s="24"/>
      <c r="J67" s="24"/>
      <c r="K67" s="24"/>
      <c r="L67" s="24"/>
      <c r="M67" s="24"/>
    </row>
    <row r="68" spans="3:13" x14ac:dyDescent="0.25">
      <c r="C68" s="20" t="s">
        <v>6</v>
      </c>
      <c r="D68" s="20">
        <f>(D57/1)/(D56/12)</f>
        <v>1.6209371042634022</v>
      </c>
      <c r="E68" s="20">
        <f t="shared" ref="E68:G68" si="3">(E57/1)/(E56/12)</f>
        <v>1.5647881530234471</v>
      </c>
      <c r="F68" s="20">
        <f t="shared" si="3"/>
        <v>1.5160100912090047</v>
      </c>
      <c r="G68" s="20">
        <f t="shared" si="3"/>
        <v>1.48136076594011</v>
      </c>
      <c r="H68" s="13"/>
      <c r="I68" s="13"/>
      <c r="J68" s="13"/>
      <c r="K68" s="13"/>
      <c r="L68" s="13"/>
      <c r="M68" s="13"/>
    </row>
    <row r="69" spans="3:13" x14ac:dyDescent="0.25">
      <c r="C69" s="20" t="s">
        <v>7</v>
      </c>
      <c r="D69" s="20">
        <f>(D58/16)/(D56/12)</f>
        <v>0.72973828619670744</v>
      </c>
      <c r="E69" s="20">
        <f t="shared" ref="E69:G69" si="4">(E58/16)/(E56/12)</f>
        <v>0.69261620732208973</v>
      </c>
      <c r="F69" s="20">
        <f t="shared" si="4"/>
        <v>0.60401707743062294</v>
      </c>
      <c r="G69" s="20">
        <f t="shared" si="4"/>
        <v>0.67804033408026076</v>
      </c>
      <c r="H69" s="13"/>
      <c r="I69" s="13"/>
      <c r="J69" s="13"/>
      <c r="K69" s="13"/>
      <c r="L69" s="13"/>
      <c r="M69" s="13"/>
    </row>
    <row r="70" spans="3:13" x14ac:dyDescent="0.25">
      <c r="C70" s="20" t="s">
        <v>11</v>
      </c>
      <c r="D70" s="20">
        <f>0.012+D68*0.001+D69*0.016</f>
        <v>2.5296749683410724E-2</v>
      </c>
      <c r="E70" s="20">
        <f t="shared" ref="E70:G70" si="5">0.012+E68*0.001+E69*0.016</f>
        <v>2.4646647470176884E-2</v>
      </c>
      <c r="F70" s="20">
        <f t="shared" si="5"/>
        <v>2.3180283330098972E-2</v>
      </c>
      <c r="G70" s="20">
        <f t="shared" si="5"/>
        <v>2.4330006111224284E-2</v>
      </c>
      <c r="H70" s="13"/>
      <c r="I70" s="13"/>
      <c r="J70" s="13"/>
      <c r="K70" s="13"/>
      <c r="L70" s="13"/>
      <c r="M70" s="13"/>
    </row>
    <row r="71" spans="3:13" x14ac:dyDescent="0.25">
      <c r="C71" s="20" t="s">
        <v>8</v>
      </c>
      <c r="D71" s="20">
        <f>1-D69/2+D68/4</f>
        <v>1.0403651329674968</v>
      </c>
      <c r="E71" s="20">
        <f t="shared" ref="E71:G71" si="6">1-E69/2+E68/4</f>
        <v>1.0448889345948169</v>
      </c>
      <c r="F71" s="20">
        <f t="shared" si="6"/>
        <v>1.0769939840869396</v>
      </c>
      <c r="G71" s="20">
        <f t="shared" si="6"/>
        <v>1.0313200244448972</v>
      </c>
      <c r="H71" s="13"/>
      <c r="I71" s="13"/>
      <c r="J71" s="13"/>
      <c r="K71" s="13"/>
      <c r="L71" s="13"/>
      <c r="M71" s="13"/>
    </row>
    <row r="72" spans="3:13" x14ac:dyDescent="0.25">
      <c r="C72" s="20" t="s">
        <v>9</v>
      </c>
      <c r="D72" s="20">
        <v>1</v>
      </c>
      <c r="E72" s="20">
        <v>1</v>
      </c>
      <c r="F72" s="20">
        <v>1</v>
      </c>
      <c r="G72" s="20">
        <v>1</v>
      </c>
      <c r="H72" s="13"/>
      <c r="I72" s="13"/>
      <c r="J72" s="13"/>
      <c r="K72" s="13"/>
      <c r="L72" s="13"/>
      <c r="M72" s="13"/>
    </row>
    <row r="73" spans="3:13" x14ac:dyDescent="0.25">
      <c r="C73" s="20" t="s">
        <v>10</v>
      </c>
      <c r="D73" s="20">
        <f>D68/2</f>
        <v>0.8104685521317011</v>
      </c>
      <c r="E73" s="20">
        <f t="shared" ref="E73:G73" si="7">E68/2</f>
        <v>0.78239407651172355</v>
      </c>
      <c r="F73" s="20">
        <f t="shared" si="7"/>
        <v>0.75800504560450233</v>
      </c>
      <c r="G73" s="20">
        <f t="shared" si="7"/>
        <v>0.74068038297005501</v>
      </c>
      <c r="H73" s="13"/>
      <c r="I73" s="13"/>
      <c r="J73" s="13"/>
      <c r="K73" s="13"/>
      <c r="L73" s="13"/>
      <c r="M73" s="13"/>
    </row>
    <row r="74" spans="3:13" x14ac:dyDescent="0.25">
      <c r="C74" s="20" t="s">
        <v>12</v>
      </c>
      <c r="D74" s="20">
        <f>((1-D55)*(1-D62)/D70)*0.02241*D71/0.21</f>
        <v>2.6253670838935284</v>
      </c>
      <c r="E74" s="20">
        <f>((1-E55)*(1-E62)/E70)*0.02241*E71/0.21</f>
        <v>2.9342133911851587</v>
      </c>
      <c r="F74" s="20">
        <f>((1-F55)*(1-F62)/F70)*0.02241*F71/0.21</f>
        <v>2.5718020227465987</v>
      </c>
      <c r="G74" s="20">
        <f>((1-G55)*(1-G62)/G70)*0.02241*G71/0.21</f>
        <v>2.2045236608937002</v>
      </c>
      <c r="H74" s="13"/>
      <c r="I74" s="13"/>
      <c r="J74" s="13"/>
      <c r="K74" s="13"/>
      <c r="L74" s="13"/>
      <c r="M74" s="13"/>
    </row>
    <row r="75" spans="3:13" x14ac:dyDescent="0.25">
      <c r="C75" s="14" t="s">
        <v>14</v>
      </c>
      <c r="D75" s="14">
        <f>D74*1.2</f>
        <v>3.150440500672234</v>
      </c>
      <c r="E75" s="14">
        <f t="shared" ref="E75:G75" si="8">E74*1.2</f>
        <v>3.5210560694221904</v>
      </c>
      <c r="F75" s="14">
        <f t="shared" si="8"/>
        <v>3.0861624272959185</v>
      </c>
      <c r="G75" s="14">
        <f t="shared" si="8"/>
        <v>2.6454283930724403</v>
      </c>
      <c r="H75" s="13"/>
      <c r="I75" s="13"/>
      <c r="J75" s="13"/>
      <c r="K75" s="13"/>
      <c r="L75" s="13"/>
      <c r="M75" s="13"/>
    </row>
    <row r="76" spans="3:13" x14ac:dyDescent="0.25">
      <c r="C76" s="14" t="s">
        <v>13</v>
      </c>
      <c r="D76" s="14">
        <f>(D75-D74)*0.21</f>
        <v>0.11026541752352818</v>
      </c>
      <c r="E76" s="14">
        <f t="shared" ref="E76:G76" si="9">(E75-E74)*0.21</f>
        <v>0.12323696242977666</v>
      </c>
      <c r="F76" s="14">
        <f t="shared" si="9"/>
        <v>0.10801568495535714</v>
      </c>
      <c r="G76" s="14">
        <f t="shared" si="9"/>
        <v>9.2589993757535405E-2</v>
      </c>
      <c r="H76" s="13"/>
      <c r="I76" s="13"/>
      <c r="J76" s="13"/>
      <c r="K76" s="13"/>
      <c r="L76" s="13"/>
      <c r="M76" s="13"/>
    </row>
    <row r="77" spans="3:13" x14ac:dyDescent="0.25">
      <c r="C77" s="14" t="s">
        <v>15</v>
      </c>
      <c r="D77" s="14">
        <f>D75*0.79</f>
        <v>2.4888479955310649</v>
      </c>
      <c r="E77" s="14">
        <f>E75*0.79</f>
        <v>2.7816342948435304</v>
      </c>
      <c r="F77" s="14">
        <f t="shared" ref="F77:G77" si="10">F75*0.79</f>
        <v>2.4380683175637756</v>
      </c>
      <c r="G77" s="14">
        <f t="shared" si="10"/>
        <v>2.0898884305272278</v>
      </c>
      <c r="H77" s="13"/>
      <c r="I77" s="13"/>
      <c r="J77" s="13"/>
      <c r="K77" s="13"/>
      <c r="L77" s="13"/>
      <c r="M77" s="13"/>
    </row>
    <row r="78" spans="3:13" x14ac:dyDescent="0.25">
      <c r="C78" s="14" t="s">
        <v>16</v>
      </c>
      <c r="D78" s="14">
        <f>((1-D55)*(1-D62)/D70)*0.02241*D72</f>
        <v>0.52993614467360817</v>
      </c>
      <c r="E78" s="14">
        <f t="shared" ref="E78:G78" si="11">((1-E55)*(1-E62)/E70)*0.02241*E72</f>
        <v>0.58971321424494283</v>
      </c>
      <c r="F78" s="14">
        <f t="shared" si="11"/>
        <v>0.50146837657097654</v>
      </c>
      <c r="G78" s="14">
        <f t="shared" si="11"/>
        <v>0.44889070105747003</v>
      </c>
      <c r="H78" s="13"/>
      <c r="I78" s="13"/>
      <c r="J78" s="13"/>
      <c r="K78" s="13"/>
      <c r="L78" s="13"/>
      <c r="M78" s="13"/>
    </row>
    <row r="79" spans="3:13" x14ac:dyDescent="0.25">
      <c r="C79" s="14" t="s">
        <v>78</v>
      </c>
      <c r="D79" s="14">
        <f>((1-D55)*(1-D62)/D70)*0.02241*D73+D55*0.02241/0.018</f>
        <v>0.92749657989587497</v>
      </c>
      <c r="E79" s="14">
        <f t="shared" ref="E79:G79" si="12">((1-E55)*(1-E62)/E70)*0.02241*E73+E55*0.02241/0.018</f>
        <v>0.89713812566593232</v>
      </c>
      <c r="F79" s="14">
        <f t="shared" si="12"/>
        <v>0.94036555965189883</v>
      </c>
      <c r="G79" s="14">
        <f t="shared" si="12"/>
        <v>0.95498453637094349</v>
      </c>
      <c r="H79" s="13"/>
      <c r="I79" s="13"/>
      <c r="J79" s="13"/>
      <c r="K79" s="13"/>
      <c r="L79" s="13"/>
      <c r="M79" s="13"/>
    </row>
    <row r="80" spans="3:13" x14ac:dyDescent="0.25">
      <c r="C80" s="14" t="s">
        <v>17</v>
      </c>
      <c r="D80" s="14">
        <f>SUM(D76:D79)</f>
        <v>4.0565461376240766</v>
      </c>
      <c r="E80" s="14">
        <f>SUM(E76:E79)</f>
        <v>4.3917225971841827</v>
      </c>
      <c r="F80" s="14">
        <f>SUM(F76:F79)</f>
        <v>3.9879179387420085</v>
      </c>
      <c r="G80" s="14">
        <f>SUM(G76:G79)</f>
        <v>3.5863536617131766</v>
      </c>
      <c r="H80" s="13"/>
      <c r="I80" s="13"/>
      <c r="J80" s="13"/>
      <c r="K80" s="13"/>
      <c r="L80" s="13"/>
      <c r="M80" s="13"/>
    </row>
    <row r="81" spans="3:13" x14ac:dyDescent="0.25">
      <c r="C81" s="14" t="s">
        <v>18</v>
      </c>
      <c r="D81" s="14">
        <f>D76/D$80</f>
        <v>2.7182093776976182E-2</v>
      </c>
      <c r="E81" s="14">
        <f>E76/E$80</f>
        <v>2.8061190046200061E-2</v>
      </c>
      <c r="F81" s="14">
        <f>F76/F$80</f>
        <v>2.7085734113533631E-2</v>
      </c>
      <c r="G81" s="14">
        <f>G76/G$80</f>
        <v>2.5817307073197515E-2</v>
      </c>
      <c r="H81" s="13"/>
      <c r="I81" s="13"/>
      <c r="J81" s="13"/>
      <c r="K81" s="13"/>
      <c r="L81" s="13"/>
      <c r="M81" s="13"/>
    </row>
    <row r="82" spans="3:13" x14ac:dyDescent="0.25">
      <c r="C82" s="14" t="s">
        <v>19</v>
      </c>
      <c r="D82" s="14">
        <f>D77/D$80</f>
        <v>0.61353868810889101</v>
      </c>
      <c r="E82" s="14">
        <f>E77/E$80</f>
        <v>0.63338114675708712</v>
      </c>
      <c r="F82" s="14">
        <f>F77/F$80</f>
        <v>0.61136371284833058</v>
      </c>
      <c r="G82" s="14">
        <f>G77/G$80</f>
        <v>0.58273350250931544</v>
      </c>
      <c r="H82" s="13"/>
      <c r="I82" s="13"/>
      <c r="J82" s="13"/>
      <c r="K82" s="13"/>
      <c r="L82" s="13"/>
      <c r="M82" s="13"/>
    </row>
    <row r="83" spans="3:13" x14ac:dyDescent="0.25">
      <c r="C83" s="14" t="s">
        <v>20</v>
      </c>
      <c r="D83" s="14">
        <f>D78/D$80</f>
        <v>0.13063727779612838</v>
      </c>
      <c r="E83" s="14">
        <f>E78/E$80</f>
        <v>0.13427833866898745</v>
      </c>
      <c r="F83" s="14">
        <f>F78/F$80</f>
        <v>0.12574691462411713</v>
      </c>
      <c r="G83" s="14">
        <f>G78/G$80</f>
        <v>0.12516632306782538</v>
      </c>
      <c r="H83" s="13"/>
      <c r="I83" s="13"/>
      <c r="J83" s="13"/>
      <c r="K83" s="13"/>
      <c r="L83" s="13"/>
      <c r="M83" s="13"/>
    </row>
    <row r="84" spans="3:13" x14ac:dyDescent="0.25">
      <c r="C84" s="14" t="s">
        <v>18</v>
      </c>
      <c r="D84" s="14">
        <f>D79/D$80</f>
        <v>0.22864194031800431</v>
      </c>
      <c r="E84" s="14">
        <f>E79/E$80</f>
        <v>0.20427932452772532</v>
      </c>
      <c r="F84" s="14">
        <f>F79/F$80</f>
        <v>0.23580363841401858</v>
      </c>
      <c r="G84" s="14">
        <f>G79/G$80</f>
        <v>0.26628286734966172</v>
      </c>
      <c r="H84" s="13"/>
      <c r="I84" s="13"/>
      <c r="J84" s="13"/>
      <c r="K84" s="13"/>
      <c r="L84" s="13"/>
      <c r="M84" s="13"/>
    </row>
    <row r="85" spans="3:13" x14ac:dyDescent="0.25">
      <c r="C85" s="14" t="s">
        <v>21</v>
      </c>
      <c r="D85" s="14">
        <f>D81*0.031998+D82*0.028014+D83*0.044009+D84*0.0180006</f>
        <v>2.7922353514776236E-2</v>
      </c>
      <c r="E85" s="14">
        <f t="shared" ref="E85:G85" si="13">E81*0.031998+E82*0.028014+E83*0.044009+E84*0.0180006</f>
        <v>2.8228047219928592E-2</v>
      </c>
      <c r="F85" s="14">
        <f t="shared" si="13"/>
        <v>2.7772035311226136E-2</v>
      </c>
      <c r="G85" s="14">
        <f t="shared" si="13"/>
        <v>2.7452494624930386E-2</v>
      </c>
      <c r="H85" s="13"/>
      <c r="I85" s="13"/>
      <c r="J85" s="13"/>
      <c r="K85" s="13"/>
      <c r="L85" s="13"/>
      <c r="M85" s="13"/>
    </row>
    <row r="86" spans="3:13" x14ac:dyDescent="0.25">
      <c r="C86" s="14" t="s">
        <v>44</v>
      </c>
      <c r="D86" s="14">
        <f>D80*D85/0.02241</f>
        <v>5.0543648060570998</v>
      </c>
      <c r="E86" s="14">
        <f t="shared" ref="E86:G86" si="14">E80*E85/0.02241</f>
        <v>5.5318943708229602</v>
      </c>
      <c r="F86" s="14">
        <f t="shared" si="14"/>
        <v>4.9421061049984472</v>
      </c>
      <c r="G86" s="14">
        <f t="shared" si="14"/>
        <v>4.393322383814386</v>
      </c>
      <c r="H86" s="13"/>
      <c r="I86" s="13"/>
      <c r="J86" s="13"/>
      <c r="K86" s="13"/>
      <c r="L86" s="13"/>
      <c r="M86" s="13"/>
    </row>
    <row r="87" spans="3:13" x14ac:dyDescent="0.25">
      <c r="C87" s="14" t="s">
        <v>23</v>
      </c>
      <c r="D87" s="14">
        <v>140</v>
      </c>
      <c r="E87" s="14">
        <v>140</v>
      </c>
      <c r="F87" s="14">
        <v>140</v>
      </c>
      <c r="G87" s="14">
        <v>140</v>
      </c>
      <c r="H87" s="13"/>
      <c r="I87" s="13"/>
      <c r="J87" s="13"/>
      <c r="K87" s="13"/>
      <c r="L87" s="13"/>
      <c r="M87" s="13"/>
    </row>
    <row r="88" spans="3:13" x14ac:dyDescent="0.25">
      <c r="C88" s="14" t="s">
        <v>24</v>
      </c>
      <c r="D88" s="14">
        <f>(D87+273.15)/1000</f>
        <v>0.41314999999999996</v>
      </c>
      <c r="E88" s="14">
        <f>(E87+273.15)/1000</f>
        <v>0.41314999999999996</v>
      </c>
      <c r="F88" s="14">
        <f>(F87+273.15)/1000</f>
        <v>0.41314999999999996</v>
      </c>
      <c r="G88" s="14">
        <f>(G87+273.15)/1000</f>
        <v>0.41314999999999996</v>
      </c>
      <c r="H88" s="13"/>
      <c r="I88" s="13"/>
      <c r="J88" s="13"/>
      <c r="K88" s="13"/>
      <c r="L88" s="13"/>
      <c r="M88" s="13"/>
    </row>
    <row r="89" spans="3:13" x14ac:dyDescent="0.25">
      <c r="C89" s="14" t="s">
        <v>22</v>
      </c>
      <c r="D89" s="14">
        <f>29.659+6.137261*D88-1.186521*(D88^2)+0.09578*(D88^3)-0.219663/(D88^2)</f>
        <v>30.711943309318094</v>
      </c>
      <c r="E89" s="14">
        <f>D89</f>
        <v>30.711943309318094</v>
      </c>
      <c r="F89" s="14">
        <f t="shared" ref="F89:G89" si="15">E89</f>
        <v>30.711943309318094</v>
      </c>
      <c r="G89" s="14">
        <f t="shared" si="15"/>
        <v>30.711943309318094</v>
      </c>
      <c r="H89" s="13"/>
      <c r="I89" s="13"/>
      <c r="J89" s="13"/>
      <c r="K89" s="13"/>
      <c r="L89" s="13"/>
      <c r="M89" s="13"/>
    </row>
    <row r="90" spans="3:13" x14ac:dyDescent="0.25">
      <c r="C90" s="14" t="s">
        <v>25</v>
      </c>
      <c r="D90" s="14">
        <f>26.092+8.218801*D88-1.976141*(D88^2)+0.159274*(D88^3)+0.044434/(D88^2)</f>
        <v>29.421832057827562</v>
      </c>
      <c r="E90" s="14">
        <f t="shared" ref="E90:G90" si="16">D90</f>
        <v>29.421832057827562</v>
      </c>
      <c r="F90" s="14">
        <f t="shared" si="16"/>
        <v>29.421832057827562</v>
      </c>
      <c r="G90" s="14">
        <f t="shared" si="16"/>
        <v>29.421832057827562</v>
      </c>
      <c r="H90" s="13"/>
      <c r="I90" s="13"/>
      <c r="J90" s="13"/>
      <c r="K90" s="13"/>
      <c r="L90" s="13"/>
      <c r="M90" s="13"/>
    </row>
    <row r="91" spans="3:13" x14ac:dyDescent="0.25">
      <c r="C91" s="14" t="s">
        <v>26</v>
      </c>
      <c r="D91" s="14">
        <f>24.99735+55.18696*D88-33.69137*(D88^2)+7.948387*(D88^3)-0.136638/(D88^2)</f>
        <v>41.807008390810957</v>
      </c>
      <c r="E91" s="14">
        <f t="shared" ref="E91:G91" si="17">D91</f>
        <v>41.807008390810957</v>
      </c>
      <c r="F91" s="14">
        <f t="shared" si="17"/>
        <v>41.807008390810957</v>
      </c>
      <c r="G91" s="14">
        <f t="shared" si="17"/>
        <v>41.807008390810957</v>
      </c>
      <c r="H91" s="13"/>
      <c r="I91" s="13"/>
      <c r="J91" s="13"/>
      <c r="K91" s="13"/>
      <c r="L91" s="13"/>
      <c r="M91" s="13"/>
    </row>
    <row r="92" spans="3:13" x14ac:dyDescent="0.25">
      <c r="C92" s="14" t="s">
        <v>27</v>
      </c>
      <c r="D92" s="14">
        <f>30.092+6.832514*D88+6.793435*D88^2-2.53448*D88^3+0.082139/D88^2</f>
        <v>34.376917562301387</v>
      </c>
      <c r="E92" s="14">
        <f t="shared" ref="E92:G92" si="18">D92</f>
        <v>34.376917562301387</v>
      </c>
      <c r="F92" s="14">
        <f t="shared" si="18"/>
        <v>34.376917562301387</v>
      </c>
      <c r="G92" s="14">
        <f t="shared" si="18"/>
        <v>34.376917562301387</v>
      </c>
      <c r="H92" s="13"/>
      <c r="I92" s="13"/>
      <c r="J92" s="13"/>
      <c r="K92" s="13"/>
      <c r="L92" s="13"/>
      <c r="M92" s="13"/>
    </row>
    <row r="93" spans="3:13" x14ac:dyDescent="0.25">
      <c r="C93" s="14" t="s">
        <v>28</v>
      </c>
      <c r="D93" s="14">
        <f>SUMPRODUCT(D81:D84,D89:D92)</f>
        <v>32.207806068198806</v>
      </c>
      <c r="E93" s="14">
        <f t="shared" ref="E93:G93" si="19">SUMPRODUCT(E81:E84,E89:E92)</f>
        <v>32.133316536782885</v>
      </c>
      <c r="F93" s="14">
        <f t="shared" si="19"/>
        <v>32.182600569718097</v>
      </c>
      <c r="G93" s="14">
        <f t="shared" si="19"/>
        <v>32.324800614406101</v>
      </c>
      <c r="H93" s="13"/>
      <c r="I93" s="13"/>
      <c r="J93" s="13"/>
      <c r="K93" s="13"/>
      <c r="L93" s="13"/>
      <c r="M93" s="13"/>
    </row>
    <row r="94" spans="3:13" x14ac:dyDescent="0.25">
      <c r="C94" s="14" t="s">
        <v>28</v>
      </c>
      <c r="D94" s="14">
        <f>D93/D85</f>
        <v>1153.4774835923035</v>
      </c>
      <c r="E94" s="14">
        <f t="shared" ref="E94:G94" si="20">E93/E85</f>
        <v>1138.347129945894</v>
      </c>
      <c r="F94" s="14">
        <f t="shared" si="20"/>
        <v>1158.813180563295</v>
      </c>
      <c r="G94" s="14">
        <f t="shared" si="20"/>
        <v>1177.4813566505914</v>
      </c>
      <c r="H94" s="13"/>
      <c r="I94" s="13"/>
      <c r="J94" s="13"/>
      <c r="K94" s="13"/>
      <c r="L94" s="13"/>
      <c r="M94" s="13"/>
    </row>
    <row r="95" spans="3:13" x14ac:dyDescent="0.25">
      <c r="C95" s="14" t="s">
        <v>29</v>
      </c>
      <c r="D95" s="14">
        <f>0.000001*D86*D94*(140-25)</f>
        <v>0.67046103972954807</v>
      </c>
      <c r="E95" s="14">
        <f t="shared" ref="E95:G95" si="21">0.000001*E86*E94*(140-25)</f>
        <v>0.72417984922186884</v>
      </c>
      <c r="F95" s="14">
        <f t="shared" si="21"/>
        <v>0.65860243483467062</v>
      </c>
      <c r="G95" s="14">
        <f t="shared" si="21"/>
        <v>0.59490134808017492</v>
      </c>
      <c r="H95" s="13"/>
      <c r="I95" s="13"/>
      <c r="J95" s="13"/>
      <c r="K95" s="13"/>
      <c r="L95" s="13"/>
      <c r="M95" s="13"/>
    </row>
    <row r="96" spans="3:13" x14ac:dyDescent="0.25">
      <c r="C96" s="14" t="s">
        <v>34</v>
      </c>
      <c r="D96" s="14">
        <v>0.1</v>
      </c>
      <c r="E96" s="14">
        <v>0.1</v>
      </c>
      <c r="F96" s="14">
        <v>0.1</v>
      </c>
      <c r="G96" s="14">
        <v>0.1</v>
      </c>
      <c r="H96" s="13"/>
      <c r="I96" s="13"/>
      <c r="J96" s="13"/>
      <c r="K96" s="13"/>
      <c r="L96" s="13"/>
      <c r="M96" s="13"/>
    </row>
    <row r="97" spans="3:13" x14ac:dyDescent="0.25">
      <c r="C97" s="14" t="s">
        <v>32</v>
      </c>
      <c r="D97" s="14">
        <v>1000</v>
      </c>
      <c r="E97" s="14">
        <v>1000</v>
      </c>
      <c r="F97" s="14">
        <v>1000</v>
      </c>
      <c r="G97" s="14">
        <v>1000</v>
      </c>
      <c r="H97" s="13"/>
      <c r="I97" s="13"/>
      <c r="J97" s="13"/>
      <c r="K97" s="13"/>
      <c r="L97" s="13"/>
      <c r="M97" s="13"/>
    </row>
    <row r="98" spans="3:13" x14ac:dyDescent="0.25">
      <c r="C98" s="14" t="s">
        <v>35</v>
      </c>
      <c r="D98" s="14">
        <v>1.25</v>
      </c>
      <c r="E98" s="14">
        <v>1.25</v>
      </c>
      <c r="F98" s="14">
        <v>1.25</v>
      </c>
      <c r="G98" s="14">
        <v>1.25</v>
      </c>
      <c r="H98" s="13"/>
      <c r="I98" s="13"/>
      <c r="J98" s="13"/>
      <c r="K98" s="13"/>
      <c r="L98" s="13"/>
      <c r="M98" s="13"/>
    </row>
    <row r="99" spans="3:13" x14ac:dyDescent="0.25">
      <c r="C99" s="14" t="s">
        <v>33</v>
      </c>
      <c r="D99" s="14">
        <v>0.03</v>
      </c>
      <c r="E99" s="14">
        <v>0.03</v>
      </c>
      <c r="F99" s="14">
        <v>0.03</v>
      </c>
      <c r="G99" s="14">
        <v>0.03</v>
      </c>
      <c r="H99" s="13"/>
      <c r="I99" s="13"/>
      <c r="J99" s="13"/>
      <c r="K99" s="13"/>
      <c r="L99" s="13"/>
      <c r="M99" s="13"/>
    </row>
    <row r="100" spans="3:13" x14ac:dyDescent="0.25">
      <c r="C100" s="14" t="s">
        <v>30</v>
      </c>
      <c r="D100" s="14">
        <f>((1-D55)*D62)*D96</f>
        <v>1.8000000000000001E-4</v>
      </c>
      <c r="E100" s="14">
        <f>((1-E55)*E62)*E96</f>
        <v>1.4300000000000001E-4</v>
      </c>
      <c r="F100" s="14">
        <f>((1-F55)*F62)*F96</f>
        <v>3.1295000000000003E-3</v>
      </c>
      <c r="G100" s="14">
        <f>((1-G55)*G62)*G96</f>
        <v>1.2650000000000001E-3</v>
      </c>
      <c r="H100" s="13"/>
      <c r="I100" s="13"/>
      <c r="J100" s="13"/>
      <c r="K100" s="13"/>
      <c r="L100" s="13"/>
      <c r="M100" s="13"/>
    </row>
    <row r="101" spans="3:13" x14ac:dyDescent="0.25">
      <c r="C101" s="14" t="s">
        <v>31</v>
      </c>
      <c r="D101" s="14">
        <f>D100*(D98*0.001*(D97-25)+D99*34.1)</f>
        <v>4.0351499999999996E-4</v>
      </c>
      <c r="E101" s="14">
        <f t="shared" ref="E101:G101" si="22">E100*(E98*0.001*(E97-25)+E99*34.1)</f>
        <v>3.2057024999999998E-4</v>
      </c>
      <c r="F101" s="14">
        <f t="shared" si="22"/>
        <v>7.0155566249999997E-3</v>
      </c>
      <c r="G101" s="14">
        <f t="shared" si="22"/>
        <v>2.8358137499999996E-3</v>
      </c>
      <c r="H101" s="13"/>
      <c r="I101" s="13"/>
      <c r="J101" s="13"/>
      <c r="K101" s="13"/>
      <c r="L101" s="13"/>
      <c r="M101" s="13"/>
    </row>
    <row r="102" spans="3:13" x14ac:dyDescent="0.25">
      <c r="C102" s="14" t="s">
        <v>38</v>
      </c>
      <c r="D102" s="14">
        <v>1000</v>
      </c>
      <c r="E102" s="14">
        <v>1000</v>
      </c>
      <c r="F102" s="14">
        <v>1000</v>
      </c>
      <c r="G102" s="14">
        <v>1000</v>
      </c>
      <c r="H102" s="13"/>
      <c r="I102" s="13"/>
      <c r="J102" s="13"/>
      <c r="K102" s="13"/>
      <c r="L102" s="13"/>
      <c r="M102" s="13"/>
    </row>
    <row r="103" spans="3:13" x14ac:dyDescent="0.25">
      <c r="C103" s="14" t="s">
        <v>39</v>
      </c>
      <c r="D103" s="14">
        <v>1.25</v>
      </c>
      <c r="E103" s="14">
        <v>1.25</v>
      </c>
      <c r="F103" s="14">
        <v>1.25</v>
      </c>
      <c r="G103" s="14">
        <v>1.25</v>
      </c>
      <c r="H103" s="13"/>
      <c r="I103" s="13"/>
      <c r="J103" s="13"/>
      <c r="K103" s="13"/>
      <c r="L103" s="13"/>
      <c r="M103" s="13"/>
    </row>
    <row r="104" spans="3:13" x14ac:dyDescent="0.25">
      <c r="C104" s="14" t="s">
        <v>36</v>
      </c>
      <c r="D104" s="14">
        <f>((1-D55)*D62)*(1-D96)</f>
        <v>1.6199999999999999E-3</v>
      </c>
      <c r="E104" s="14">
        <f>((1-E55)*E62)*(1-E96)</f>
        <v>1.2870000000000002E-3</v>
      </c>
      <c r="F104" s="14">
        <f>((1-F55)*F62)*(1-F96)</f>
        <v>2.8165500000000003E-2</v>
      </c>
      <c r="G104" s="14">
        <f>((1-G55)*G62)*(1-G96)</f>
        <v>1.1384999999999999E-2</v>
      </c>
      <c r="H104" s="13"/>
      <c r="I104" s="13"/>
      <c r="J104" s="13"/>
      <c r="K104" s="13"/>
      <c r="L104" s="13"/>
      <c r="M104" s="13"/>
    </row>
    <row r="105" spans="3:13" x14ac:dyDescent="0.25">
      <c r="C105" s="14" t="s">
        <v>37</v>
      </c>
      <c r="D105" s="14">
        <f>D104*(D98*0.001*(D97-25))</f>
        <v>1.974375E-3</v>
      </c>
      <c r="E105" s="14">
        <f t="shared" ref="E105:G105" si="23">E104*(E98*0.001*(E97-25))</f>
        <v>1.5685312500000003E-3</v>
      </c>
      <c r="F105" s="14">
        <f t="shared" si="23"/>
        <v>3.4326703125000003E-2</v>
      </c>
      <c r="G105" s="14">
        <f t="shared" si="23"/>
        <v>1.387546875E-2</v>
      </c>
      <c r="H105" s="13"/>
      <c r="I105" s="13"/>
      <c r="J105" s="13"/>
      <c r="K105" s="13"/>
      <c r="L105" s="13"/>
      <c r="M105" s="13"/>
    </row>
    <row r="106" spans="3:13" x14ac:dyDescent="0.25">
      <c r="C106" s="14" t="s">
        <v>43</v>
      </c>
      <c r="D106" s="14">
        <v>0.05</v>
      </c>
      <c r="E106" s="14">
        <v>0.05</v>
      </c>
      <c r="F106" s="14">
        <v>0.05</v>
      </c>
      <c r="G106" s="14">
        <v>0.05</v>
      </c>
      <c r="H106" s="13"/>
      <c r="I106" s="13"/>
      <c r="J106" s="13"/>
      <c r="K106" s="13"/>
      <c r="L106" s="13"/>
      <c r="M106" s="13"/>
    </row>
    <row r="107" spans="3:13" x14ac:dyDescent="0.25">
      <c r="C107" s="14" t="s">
        <v>41</v>
      </c>
      <c r="D107" s="14">
        <f>D95*D106</f>
        <v>3.3523051986477405E-2</v>
      </c>
      <c r="E107" s="14">
        <f t="shared" ref="E107:G107" si="24">E95*E106</f>
        <v>3.6208992461093444E-2</v>
      </c>
      <c r="F107" s="14">
        <f t="shared" si="24"/>
        <v>3.2930121741733535E-2</v>
      </c>
      <c r="G107" s="14">
        <f t="shared" si="24"/>
        <v>2.9745067404008747E-2</v>
      </c>
      <c r="H107" s="13"/>
      <c r="I107" s="13"/>
      <c r="J107" s="13"/>
      <c r="K107" s="13"/>
      <c r="L107" s="13"/>
      <c r="M107" s="13"/>
    </row>
    <row r="108" spans="3:13" x14ac:dyDescent="0.25">
      <c r="C108" s="14" t="s">
        <v>42</v>
      </c>
      <c r="D108" s="25">
        <f>D67-(D107+D105+D101+D95)</f>
        <v>9.3696380182839736</v>
      </c>
      <c r="E108" s="25">
        <f>E67-(E107+E105+E101+E95)</f>
        <v>9.4084970568170387</v>
      </c>
      <c r="F108" s="25">
        <f>F67-(F107+F105+F101+F95)</f>
        <v>8.3035126836735973</v>
      </c>
      <c r="G108" s="25">
        <f>G67-(G107+G105+G101+G95)</f>
        <v>7.5518923020158173</v>
      </c>
      <c r="H108" s="13"/>
      <c r="I108" s="13"/>
      <c r="J108" s="13"/>
      <c r="K108" s="13"/>
      <c r="L108" s="13"/>
      <c r="M108" s="13"/>
    </row>
    <row r="109" spans="3:13" x14ac:dyDescent="0.25">
      <c r="C109" s="14" t="s">
        <v>168</v>
      </c>
      <c r="D109" s="14"/>
      <c r="E109" s="13"/>
      <c r="F109" s="13"/>
      <c r="G109" s="13"/>
      <c r="H109" s="13"/>
      <c r="I109" s="13"/>
      <c r="J109" s="13"/>
      <c r="K109" s="13"/>
      <c r="L109" s="13"/>
      <c r="M109" s="13"/>
    </row>
    <row r="110" spans="3:13" x14ac:dyDescent="0.25">
      <c r="C110" s="14" t="s">
        <v>167</v>
      </c>
      <c r="D110" s="14">
        <f>D49/D47</f>
        <v>203.36362303657032</v>
      </c>
      <c r="E110" s="13"/>
      <c r="F110" s="13"/>
      <c r="G110" s="13"/>
      <c r="H110" s="13"/>
      <c r="I110" s="13"/>
      <c r="J110" s="13"/>
      <c r="K110" s="13"/>
      <c r="L110" s="13"/>
      <c r="M110" s="13"/>
    </row>
    <row r="111" spans="3:13" x14ac:dyDescent="0.25">
      <c r="C111" s="14" t="s">
        <v>128</v>
      </c>
      <c r="D111" s="14">
        <f>D54*$D$110</f>
        <v>20.336362303657033</v>
      </c>
      <c r="E111" s="13"/>
      <c r="F111" s="13"/>
      <c r="G111" s="13"/>
      <c r="H111" s="13"/>
      <c r="I111" s="13"/>
      <c r="J111" s="13"/>
      <c r="K111" s="13"/>
      <c r="L111" s="13"/>
      <c r="M111" s="13"/>
    </row>
    <row r="112" spans="3:13" x14ac:dyDescent="0.25">
      <c r="C112" s="20" t="s">
        <v>127</v>
      </c>
      <c r="D112" s="14">
        <f>E54*$D$110</f>
        <v>61.009086910971092</v>
      </c>
      <c r="E112" s="13"/>
      <c r="F112" s="13"/>
      <c r="G112" s="13"/>
      <c r="H112" s="13"/>
      <c r="I112" s="13"/>
      <c r="J112" s="13"/>
      <c r="K112" s="13"/>
      <c r="L112" s="13"/>
      <c r="M112" s="13"/>
    </row>
    <row r="113" spans="3:13" x14ac:dyDescent="0.25">
      <c r="C113" s="20" t="s">
        <v>129</v>
      </c>
      <c r="D113" s="14">
        <f>F54*$D$110</f>
        <v>81.345449214628132</v>
      </c>
      <c r="E113" s="13"/>
      <c r="F113" s="13"/>
      <c r="G113" s="13"/>
      <c r="H113" s="13"/>
      <c r="I113" s="13"/>
      <c r="J113" s="13"/>
      <c r="K113" s="13"/>
      <c r="L113" s="13"/>
      <c r="M113" s="13"/>
    </row>
    <row r="114" spans="3:13" x14ac:dyDescent="0.25">
      <c r="C114" s="20" t="s">
        <v>130</v>
      </c>
      <c r="D114" s="14">
        <f>G54*$D$110</f>
        <v>40.672724607314066</v>
      </c>
      <c r="E114" s="13"/>
      <c r="F114" s="13"/>
      <c r="G114" s="13"/>
      <c r="H114" s="13"/>
      <c r="I114" s="13"/>
      <c r="J114" s="13"/>
      <c r="K114" s="13"/>
      <c r="L114" s="13"/>
      <c r="M114" s="13"/>
    </row>
    <row r="115" spans="3:13" x14ac:dyDescent="0.25">
      <c r="C115" s="20" t="s">
        <v>172</v>
      </c>
      <c r="D115" s="14">
        <f>SUMPRODUCT(D75:G75,D54:G54)*(0.029/0.02241)*D110</f>
        <v>825.00142686741913</v>
      </c>
      <c r="E115" s="13"/>
      <c r="F115" s="13"/>
      <c r="G115" s="13"/>
      <c r="H115" s="13"/>
      <c r="I115" s="13"/>
      <c r="J115" s="13"/>
      <c r="K115" s="13"/>
      <c r="L115" s="13"/>
      <c r="M115" s="13"/>
    </row>
    <row r="116" spans="3:13" x14ac:dyDescent="0.25">
      <c r="C116" s="20" t="s">
        <v>169</v>
      </c>
      <c r="D116" s="14">
        <f>SUMPRODUCT(D86:G86,D54:G54)*D110</f>
        <v>1020.9894509681658</v>
      </c>
      <c r="E116" s="13"/>
      <c r="F116" s="13"/>
      <c r="G116" s="13"/>
      <c r="H116" s="13"/>
      <c r="I116" s="13"/>
      <c r="J116" s="13"/>
      <c r="K116" s="13"/>
      <c r="L116" s="13"/>
      <c r="M116" s="13"/>
    </row>
    <row r="117" spans="3:13" x14ac:dyDescent="0.25">
      <c r="C117" s="20" t="s">
        <v>170</v>
      </c>
      <c r="D117" s="14">
        <f>SUMPRODUCT(D100:G100,D54:G54)*D110</f>
        <v>0.31840642458835816</v>
      </c>
      <c r="E117" s="13"/>
      <c r="F117" s="13"/>
      <c r="G117" s="13"/>
      <c r="H117" s="13"/>
      <c r="I117" s="13"/>
      <c r="J117" s="13"/>
      <c r="K117" s="13"/>
      <c r="L117" s="13"/>
      <c r="M117" s="13"/>
    </row>
    <row r="118" spans="3:13" x14ac:dyDescent="0.25">
      <c r="C118" s="20" t="s">
        <v>171</v>
      </c>
      <c r="D118" s="14">
        <f>SUMPRODUCT(D104:G104,D54:G54)*D110</f>
        <v>2.8656578212952235</v>
      </c>
      <c r="E118" s="13"/>
      <c r="F118" s="13"/>
      <c r="G118" s="13"/>
      <c r="H118" s="13"/>
      <c r="I118" s="13"/>
      <c r="J118" s="13"/>
      <c r="K118" s="13"/>
      <c r="L118" s="13"/>
      <c r="M118" s="13"/>
    </row>
    <row r="119" spans="3:13" x14ac:dyDescent="0.25">
      <c r="C119" s="14" t="s">
        <v>173</v>
      </c>
      <c r="D119" s="14"/>
      <c r="E119" s="13"/>
      <c r="F119" s="13"/>
      <c r="G119" s="13"/>
      <c r="H119" s="13"/>
      <c r="I119" s="13"/>
      <c r="J119" s="13"/>
      <c r="K119" s="13"/>
      <c r="L119" s="13"/>
      <c r="M119" s="13"/>
    </row>
    <row r="120" spans="3:13" x14ac:dyDescent="0.25">
      <c r="C120" s="14" t="s">
        <v>175</v>
      </c>
      <c r="D120" s="14">
        <f>SUMPRODUCT(D67:G67,D54:G54)</f>
        <v>9.3120375000000024</v>
      </c>
      <c r="E120" s="13"/>
      <c r="F120" s="13"/>
      <c r="G120" s="13"/>
      <c r="H120" s="13"/>
      <c r="I120" s="13"/>
      <c r="J120" s="13"/>
      <c r="K120" s="13"/>
      <c r="L120" s="13"/>
      <c r="M120" s="13"/>
    </row>
    <row r="121" spans="3:13" x14ac:dyDescent="0.25">
      <c r="C121" s="14" t="s">
        <v>174</v>
      </c>
      <c r="D121" s="14">
        <f>D110*D120</f>
        <v>1893.7296838524071</v>
      </c>
      <c r="E121" s="13"/>
      <c r="F121" s="13"/>
      <c r="G121" s="13"/>
      <c r="H121" s="13"/>
      <c r="I121" s="13"/>
      <c r="J121" s="13"/>
      <c r="K121" s="13"/>
      <c r="L121" s="13"/>
      <c r="M121" s="13"/>
    </row>
    <row r="122" spans="3:13" x14ac:dyDescent="0.25">
      <c r="C122" s="20" t="s">
        <v>177</v>
      </c>
      <c r="D122" s="14">
        <f>D110*SUMPRODUCT(D95:G95,D$54:G$54)</f>
        <v>135.58685958923661</v>
      </c>
      <c r="E122" s="13"/>
      <c r="F122" s="13"/>
      <c r="G122" s="13"/>
      <c r="H122" s="13"/>
      <c r="I122" s="13"/>
      <c r="J122" s="13"/>
      <c r="K122" s="13"/>
      <c r="L122" s="13"/>
      <c r="M122" s="13"/>
    </row>
    <row r="123" spans="3:13" x14ac:dyDescent="0.25">
      <c r="C123" s="20" t="s">
        <v>178</v>
      </c>
      <c r="D123" s="14">
        <f>D110*SUMPRODUCT(D101:G101,D$54:G$54)</f>
        <v>0.71378760232095184</v>
      </c>
      <c r="E123" s="13"/>
      <c r="F123" s="13"/>
      <c r="G123" s="13"/>
      <c r="H123" s="13"/>
      <c r="I123" s="13"/>
      <c r="J123" s="13"/>
      <c r="K123" s="13"/>
      <c r="L123" s="13"/>
      <c r="M123" s="13"/>
    </row>
    <row r="124" spans="3:13" x14ac:dyDescent="0.25">
      <c r="C124" s="20" t="s">
        <v>179</v>
      </c>
      <c r="D124" s="14">
        <f>D110*SUMPRODUCT(D105:G105,D$54:G$54)</f>
        <v>3.4925204697035537</v>
      </c>
      <c r="E124" s="13"/>
      <c r="F124" s="13"/>
      <c r="G124" s="13"/>
      <c r="H124" s="13"/>
      <c r="I124" s="13"/>
      <c r="J124" s="13"/>
      <c r="K124" s="13"/>
      <c r="L124" s="13"/>
      <c r="M124" s="13"/>
    </row>
    <row r="125" spans="3:13" x14ac:dyDescent="0.25">
      <c r="C125" s="14" t="s">
        <v>176</v>
      </c>
      <c r="D125" s="14">
        <f>D110*SUMPRODUCT(D107:G107,D$54:G$54)</f>
        <v>6.7793429794618305</v>
      </c>
      <c r="E125" s="13"/>
      <c r="F125" s="13"/>
      <c r="G125" s="13"/>
      <c r="H125" s="13"/>
      <c r="I125" s="13"/>
      <c r="J125" s="13"/>
      <c r="K125" s="13"/>
      <c r="L125" s="13"/>
      <c r="M125" s="13"/>
    </row>
    <row r="126" spans="3:13" x14ac:dyDescent="0.25">
      <c r="C126" s="14" t="s">
        <v>79</v>
      </c>
      <c r="D126" s="14">
        <f>D110*SUMPRODUCT(D108:G108,D$54:G$54)</f>
        <v>1747.1571732116838</v>
      </c>
      <c r="E126" s="13"/>
      <c r="F126" s="13"/>
      <c r="G126" s="13"/>
      <c r="H126" s="13"/>
      <c r="I126" s="13"/>
      <c r="J126" s="13"/>
      <c r="K126" s="13"/>
      <c r="L126" s="13"/>
      <c r="M126" s="13"/>
    </row>
    <row r="127" spans="3:13" x14ac:dyDescent="0.25"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</row>
    <row r="128" spans="3:13" x14ac:dyDescent="0.25"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</row>
    <row r="129" spans="3:13" x14ac:dyDescent="0.25">
      <c r="C129" s="14" t="s">
        <v>118</v>
      </c>
      <c r="D129" s="14" t="s">
        <v>120</v>
      </c>
      <c r="E129" s="13"/>
      <c r="F129" s="13"/>
      <c r="G129" s="13"/>
      <c r="H129" s="13"/>
      <c r="I129" s="13"/>
      <c r="J129" s="13"/>
      <c r="K129" s="13"/>
      <c r="L129" s="13"/>
      <c r="M129" s="13"/>
    </row>
    <row r="130" spans="3:13" x14ac:dyDescent="0.25">
      <c r="C130" s="14" t="s">
        <v>84</v>
      </c>
      <c r="D130" s="14">
        <f>D110*3.6*E130</f>
        <v>19766.944159154635</v>
      </c>
      <c r="E130" s="14">
        <v>27</v>
      </c>
      <c r="F130" s="14" t="s">
        <v>119</v>
      </c>
      <c r="G130" s="13"/>
      <c r="H130" s="13"/>
      <c r="I130" s="13"/>
      <c r="J130" s="13"/>
      <c r="K130" s="13"/>
      <c r="L130" s="13"/>
      <c r="M130" s="13"/>
    </row>
    <row r="131" spans="3:13" x14ac:dyDescent="0.25">
      <c r="C131" s="14" t="s">
        <v>98</v>
      </c>
      <c r="D131" s="14">
        <f>D110*3.6*E131</f>
        <v>6588.9813863848776</v>
      </c>
      <c r="E131" s="14">
        <v>9</v>
      </c>
      <c r="F131" s="14" t="s">
        <v>119</v>
      </c>
      <c r="G131" s="13"/>
      <c r="H131" s="13"/>
      <c r="I131" s="13"/>
      <c r="J131" s="13"/>
      <c r="K131" s="13"/>
      <c r="L131" s="13"/>
      <c r="M131" s="13"/>
    </row>
    <row r="132" spans="3:13" x14ac:dyDescent="0.25">
      <c r="C132" s="14" t="s">
        <v>121</v>
      </c>
      <c r="D132" s="14">
        <f>SUM(D130:D131)</f>
        <v>26355.92554553951</v>
      </c>
      <c r="E132" s="13"/>
      <c r="F132" s="13"/>
      <c r="G132" s="13"/>
      <c r="H132" s="13"/>
      <c r="I132" s="13"/>
      <c r="J132" s="13"/>
      <c r="K132" s="13"/>
      <c r="L132" s="13"/>
      <c r="M132" s="13"/>
    </row>
    <row r="133" spans="3:13" x14ac:dyDescent="0.25"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</row>
    <row r="134" spans="3:13" x14ac:dyDescent="0.25">
      <c r="C134" s="14" t="s">
        <v>85</v>
      </c>
      <c r="D134" s="14" t="s">
        <v>87</v>
      </c>
      <c r="E134" s="14" t="s">
        <v>86</v>
      </c>
      <c r="F134" s="14" t="s">
        <v>94</v>
      </c>
      <c r="G134" s="14" t="s">
        <v>88</v>
      </c>
      <c r="H134" s="14" t="s">
        <v>90</v>
      </c>
      <c r="I134" s="14" t="s">
        <v>91</v>
      </c>
      <c r="J134" s="14" t="s">
        <v>93</v>
      </c>
      <c r="K134" s="14" t="s">
        <v>92</v>
      </c>
      <c r="L134" s="14" t="s">
        <v>95</v>
      </c>
      <c r="M134" s="14" t="s">
        <v>96</v>
      </c>
    </row>
    <row r="135" spans="3:13" x14ac:dyDescent="0.25">
      <c r="C135" s="14" t="s">
        <v>83</v>
      </c>
      <c r="D135" s="14" t="s">
        <v>89</v>
      </c>
      <c r="E135" s="14">
        <f>D110*3.6</f>
        <v>732.10904293165311</v>
      </c>
      <c r="F135" s="14">
        <f>I135*J135*(M135/L135)*(E135/G135)^H135</f>
        <v>78.455500923092842</v>
      </c>
      <c r="G135" s="14">
        <v>25</v>
      </c>
      <c r="H135" s="14">
        <v>0.5</v>
      </c>
      <c r="I135" s="14">
        <v>5.43</v>
      </c>
      <c r="J135" s="14">
        <v>2.1</v>
      </c>
      <c r="K135" s="14">
        <v>2007</v>
      </c>
      <c r="L135" s="14">
        <v>525.4</v>
      </c>
      <c r="M135" s="14">
        <v>668</v>
      </c>
    </row>
    <row r="136" spans="3:13" x14ac:dyDescent="0.25">
      <c r="C136" s="14" t="s">
        <v>84</v>
      </c>
      <c r="D136" s="14" t="s">
        <v>89</v>
      </c>
      <c r="E136" s="14">
        <f>D110*3.6</f>
        <v>732.10904293165311</v>
      </c>
      <c r="F136" s="14">
        <f>I136*J136*(M136/L136)*(E136/G136)^H136</f>
        <v>226.54454745791924</v>
      </c>
      <c r="G136" s="14">
        <v>25</v>
      </c>
      <c r="H136" s="14">
        <v>0.7</v>
      </c>
      <c r="I136" s="14">
        <v>7.98</v>
      </c>
      <c r="J136" s="14">
        <v>2.1</v>
      </c>
      <c r="K136" s="14">
        <v>2007</v>
      </c>
      <c r="L136" s="14">
        <v>525.4</v>
      </c>
      <c r="M136" s="14">
        <v>668</v>
      </c>
    </row>
    <row r="137" spans="3:13" x14ac:dyDescent="0.25">
      <c r="C137" s="14" t="s">
        <v>46</v>
      </c>
      <c r="D137" s="14" t="s">
        <v>97</v>
      </c>
      <c r="E137" s="14">
        <f>D50</f>
        <v>1747.1571732116838</v>
      </c>
      <c r="F137" s="14">
        <f>I137*J137*(M137/L137)*(E137/G137)^H137</f>
        <v>80.738812200552147</v>
      </c>
      <c r="G137" s="14">
        <v>1500</v>
      </c>
      <c r="H137" s="14">
        <v>0.7</v>
      </c>
      <c r="I137" s="14">
        <v>40.5</v>
      </c>
      <c r="J137" s="14">
        <v>1.34</v>
      </c>
      <c r="K137" s="14">
        <v>2006</v>
      </c>
      <c r="L137" s="14">
        <v>499.6</v>
      </c>
      <c r="M137" s="14">
        <v>668</v>
      </c>
    </row>
    <row r="138" spans="3:13" x14ac:dyDescent="0.25">
      <c r="C138" s="14" t="s">
        <v>98</v>
      </c>
      <c r="D138" s="14" t="s">
        <v>99</v>
      </c>
      <c r="E138" s="14">
        <f>D110*D86*3.6</f>
        <v>3700.3461807898939</v>
      </c>
      <c r="F138" s="14">
        <f>I138*J138*(M138/L138)*(E138/G138)^H138</f>
        <v>9.1365527851010189</v>
      </c>
      <c r="G138" s="14">
        <v>66.671999999999997</v>
      </c>
      <c r="H138" s="14">
        <v>0.7</v>
      </c>
      <c r="I138" s="14">
        <v>0.1749</v>
      </c>
      <c r="J138" s="14">
        <v>2.4700000000000002</v>
      </c>
      <c r="K138" s="14">
        <v>2007</v>
      </c>
      <c r="L138" s="14">
        <v>525.4</v>
      </c>
      <c r="M138" s="14">
        <v>668</v>
      </c>
    </row>
    <row r="139" spans="3:13" x14ac:dyDescent="0.25"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</row>
    <row r="140" spans="3:13" x14ac:dyDescent="0.25">
      <c r="C140" s="14" t="s">
        <v>100</v>
      </c>
      <c r="D140" s="14" t="s">
        <v>111</v>
      </c>
      <c r="E140" s="13"/>
      <c r="F140" s="13"/>
      <c r="G140" s="13"/>
      <c r="H140" s="13"/>
      <c r="I140" s="13"/>
      <c r="J140" s="13"/>
      <c r="K140" s="13"/>
      <c r="L140" s="13"/>
      <c r="M140" s="13"/>
    </row>
    <row r="141" spans="3:13" x14ac:dyDescent="0.25">
      <c r="C141" s="14" t="s">
        <v>135</v>
      </c>
      <c r="D141" s="14">
        <f>SUM(F135:F138)</f>
        <v>394.87541336666527</v>
      </c>
      <c r="E141" s="13"/>
      <c r="F141" s="13"/>
      <c r="G141" s="13"/>
      <c r="H141" s="13"/>
      <c r="I141" s="13"/>
      <c r="J141" s="13"/>
      <c r="K141" s="13"/>
      <c r="L141" s="13"/>
      <c r="M141" s="13"/>
    </row>
    <row r="142" spans="3:13" x14ac:dyDescent="0.25">
      <c r="C142" s="14" t="s">
        <v>137</v>
      </c>
      <c r="D142" s="14">
        <f>D141*E142</f>
        <v>25.666901868833243</v>
      </c>
      <c r="E142" s="26">
        <v>6.5000000000000002E-2</v>
      </c>
      <c r="F142" s="27" t="s">
        <v>136</v>
      </c>
      <c r="G142" s="27"/>
      <c r="H142" s="27"/>
      <c r="I142" s="27"/>
      <c r="J142" s="27"/>
      <c r="K142" s="27"/>
      <c r="L142" s="27"/>
      <c r="M142" s="27"/>
    </row>
    <row r="143" spans="3:13" x14ac:dyDescent="0.25">
      <c r="C143" s="14" t="s">
        <v>138</v>
      </c>
      <c r="D143" s="14">
        <f>D141*E143</f>
        <v>19.743770668333266</v>
      </c>
      <c r="E143" s="26">
        <v>0.05</v>
      </c>
      <c r="F143" s="27" t="s">
        <v>136</v>
      </c>
      <c r="G143" s="27"/>
      <c r="H143" s="27"/>
      <c r="I143" s="27"/>
      <c r="J143" s="27"/>
      <c r="K143" s="27"/>
      <c r="L143" s="27"/>
      <c r="M143" s="27"/>
    </row>
    <row r="144" spans="3:13" x14ac:dyDescent="0.25">
      <c r="C144" s="14" t="s">
        <v>139</v>
      </c>
      <c r="D144" s="14">
        <f>D141*E144</f>
        <v>19.743770668333266</v>
      </c>
      <c r="E144" s="26">
        <v>0.05</v>
      </c>
      <c r="F144" s="27" t="s">
        <v>136</v>
      </c>
      <c r="G144" s="27"/>
      <c r="H144" s="27"/>
      <c r="I144" s="27"/>
      <c r="J144" s="27"/>
      <c r="K144" s="27"/>
      <c r="L144" s="27"/>
      <c r="M144" s="27"/>
    </row>
    <row r="145" spans="3:13" x14ac:dyDescent="0.25">
      <c r="C145" s="14" t="s">
        <v>101</v>
      </c>
      <c r="D145" s="14">
        <f>SUM(D141:D144)*E145</f>
        <v>55.203582788659794</v>
      </c>
      <c r="E145" s="26">
        <v>0.12</v>
      </c>
      <c r="F145" s="27" t="s">
        <v>163</v>
      </c>
      <c r="G145" s="27"/>
      <c r="H145" s="27"/>
      <c r="I145" s="27"/>
      <c r="J145" s="27"/>
      <c r="K145" s="27"/>
      <c r="L145" s="27"/>
      <c r="M145" s="27"/>
    </row>
    <row r="146" spans="3:13" x14ac:dyDescent="0.25">
      <c r="C146" s="14" t="s">
        <v>102</v>
      </c>
      <c r="D146" s="14">
        <f>SUM(D141:D144)*E146</f>
        <v>23.001492828608249</v>
      </c>
      <c r="E146" s="26">
        <v>0.05</v>
      </c>
      <c r="F146" s="27" t="s">
        <v>163</v>
      </c>
      <c r="G146" s="27"/>
      <c r="H146" s="27"/>
      <c r="I146" s="27"/>
      <c r="J146" s="27"/>
      <c r="K146" s="27"/>
      <c r="L146" s="27"/>
      <c r="M146" s="27"/>
    </row>
    <row r="147" spans="3:13" x14ac:dyDescent="0.25">
      <c r="C147" s="14" t="s">
        <v>103</v>
      </c>
      <c r="D147" s="14">
        <f>SUM(D141:D144)*E147</f>
        <v>92.005971314432998</v>
      </c>
      <c r="E147" s="26">
        <v>0.2</v>
      </c>
      <c r="F147" s="27" t="s">
        <v>163</v>
      </c>
      <c r="G147" s="27"/>
      <c r="H147" s="27"/>
      <c r="I147" s="27"/>
      <c r="J147" s="27"/>
      <c r="K147" s="27"/>
      <c r="L147" s="27"/>
      <c r="M147" s="27"/>
    </row>
    <row r="148" spans="3:13" x14ac:dyDescent="0.25">
      <c r="C148" s="14" t="s">
        <v>104</v>
      </c>
      <c r="D148" s="14">
        <f>SUM(D141:D144)*E148</f>
        <v>46.002985657216499</v>
      </c>
      <c r="E148" s="26">
        <v>0.1</v>
      </c>
      <c r="F148" s="27" t="s">
        <v>163</v>
      </c>
      <c r="G148" s="27"/>
      <c r="H148" s="27"/>
      <c r="I148" s="27"/>
      <c r="J148" s="27"/>
      <c r="K148" s="27"/>
      <c r="L148" s="27"/>
      <c r="M148" s="27"/>
    </row>
    <row r="149" spans="3:13" x14ac:dyDescent="0.25">
      <c r="C149" s="14" t="s">
        <v>105</v>
      </c>
      <c r="D149" s="14">
        <f>SUM(D141:D148)*E149</f>
        <v>13.524877783221653</v>
      </c>
      <c r="E149" s="26">
        <v>0.02</v>
      </c>
      <c r="F149" s="27" t="s">
        <v>164</v>
      </c>
      <c r="G149" s="27"/>
      <c r="H149" s="27"/>
      <c r="I149" s="27"/>
      <c r="J149" s="27"/>
      <c r="K149" s="27"/>
      <c r="L149" s="27"/>
      <c r="M149" s="27"/>
    </row>
    <row r="150" spans="3:13" x14ac:dyDescent="0.25">
      <c r="C150" s="14" t="s">
        <v>106</v>
      </c>
      <c r="D150" s="14">
        <f>SUM(D141:D149)*E150</f>
        <v>68.97687669443043</v>
      </c>
      <c r="E150" s="26">
        <v>0.1</v>
      </c>
      <c r="F150" s="27" t="s">
        <v>165</v>
      </c>
      <c r="G150" s="27"/>
      <c r="H150" s="27"/>
      <c r="I150" s="27"/>
      <c r="J150" s="27"/>
      <c r="K150" s="27"/>
      <c r="L150" s="27"/>
      <c r="M150" s="27"/>
    </row>
    <row r="151" spans="3:13" x14ac:dyDescent="0.25">
      <c r="C151" s="14" t="s">
        <v>107</v>
      </c>
      <c r="D151" s="14">
        <f>SUM(D141:D150)*E151</f>
        <v>113.8118465458102</v>
      </c>
      <c r="E151" s="26">
        <v>0.15</v>
      </c>
      <c r="F151" s="27" t="s">
        <v>166</v>
      </c>
      <c r="G151" s="27"/>
      <c r="H151" s="27"/>
      <c r="I151" s="27"/>
      <c r="J151" s="27"/>
      <c r="K151" s="27"/>
      <c r="L151" s="27"/>
      <c r="M151" s="27"/>
    </row>
    <row r="152" spans="3:13" x14ac:dyDescent="0.25">
      <c r="C152" s="28" t="s">
        <v>108</v>
      </c>
      <c r="D152" s="28">
        <f>SUM(D141:D151)</f>
        <v>872.55749018454492</v>
      </c>
      <c r="E152" s="13"/>
      <c r="F152" s="13"/>
      <c r="G152" s="13"/>
      <c r="H152" s="13"/>
      <c r="I152" s="13"/>
      <c r="J152" s="13"/>
      <c r="K152" s="13"/>
      <c r="L152" s="13"/>
      <c r="M152" s="13"/>
    </row>
    <row r="153" spans="3:13" x14ac:dyDescent="0.25"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</row>
    <row r="154" spans="3:13" x14ac:dyDescent="0.25"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</row>
    <row r="155" spans="3:13" x14ac:dyDescent="0.25">
      <c r="C155" s="14" t="s">
        <v>109</v>
      </c>
      <c r="D155" s="14" t="s">
        <v>112</v>
      </c>
      <c r="E155" s="14" t="s">
        <v>113</v>
      </c>
      <c r="F155" s="14" t="s">
        <v>114</v>
      </c>
      <c r="G155" s="14" t="s">
        <v>117</v>
      </c>
      <c r="H155" s="13"/>
      <c r="I155" s="13"/>
      <c r="J155" s="13"/>
      <c r="K155" s="13"/>
      <c r="L155" s="13"/>
      <c r="M155" s="13"/>
    </row>
    <row r="156" spans="3:13" x14ac:dyDescent="0.25">
      <c r="C156" s="28" t="s">
        <v>110</v>
      </c>
      <c r="D156" s="28">
        <f>SUM(D157:D163)</f>
        <v>321.70862683013621</v>
      </c>
      <c r="E156" s="29"/>
      <c r="F156" s="30"/>
      <c r="G156" s="30"/>
      <c r="H156" s="31"/>
      <c r="I156" s="13"/>
      <c r="J156" s="13"/>
      <c r="K156" s="13"/>
      <c r="L156" s="13"/>
      <c r="M156" s="13"/>
    </row>
    <row r="157" spans="3:13" x14ac:dyDescent="0.25">
      <c r="C157" s="14" t="s">
        <v>128</v>
      </c>
      <c r="D157" s="14">
        <f>F157*G157*0.000001</f>
        <v>40.998106404172582</v>
      </c>
      <c r="E157" s="14" t="s">
        <v>115</v>
      </c>
      <c r="F157" s="14">
        <f>D111*3600*8000*0.001</f>
        <v>585687.23434532259</v>
      </c>
      <c r="G157" s="14">
        <v>70</v>
      </c>
      <c r="H157" s="13"/>
      <c r="I157" s="13"/>
      <c r="J157" s="13"/>
      <c r="K157" s="13"/>
      <c r="L157" s="13"/>
      <c r="M157" s="13"/>
    </row>
    <row r="158" spans="3:13" x14ac:dyDescent="0.25">
      <c r="C158" s="20" t="s">
        <v>127</v>
      </c>
      <c r="D158" s="14">
        <f>F158*G158*0.000001</f>
        <v>122.99431921251772</v>
      </c>
      <c r="E158" s="14" t="s">
        <v>115</v>
      </c>
      <c r="F158" s="14">
        <f>D112*3600*8000*0.001</f>
        <v>1757061.7030359674</v>
      </c>
      <c r="G158" s="14">
        <v>70</v>
      </c>
      <c r="H158" s="13"/>
      <c r="I158" s="13"/>
      <c r="J158" s="13"/>
      <c r="K158" s="13"/>
      <c r="L158" s="13"/>
      <c r="M158" s="13"/>
    </row>
    <row r="159" spans="3:13" x14ac:dyDescent="0.25">
      <c r="C159" s="20" t="s">
        <v>129</v>
      </c>
      <c r="D159" s="14">
        <f>F159*G159*0.000001</f>
        <v>70.282468121438711</v>
      </c>
      <c r="E159" s="14" t="s">
        <v>115</v>
      </c>
      <c r="F159" s="14">
        <f>D113*3600*8000*0.001</f>
        <v>2342748.9373812904</v>
      </c>
      <c r="G159" s="14">
        <v>30</v>
      </c>
      <c r="H159" s="13"/>
      <c r="I159" s="13"/>
      <c r="J159" s="13"/>
      <c r="K159" s="13"/>
      <c r="L159" s="13"/>
      <c r="M159" s="13"/>
    </row>
    <row r="160" spans="3:13" x14ac:dyDescent="0.25">
      <c r="C160" s="20" t="s">
        <v>130</v>
      </c>
      <c r="D160" s="14">
        <f>F160*G160*0.000001</f>
        <v>35.141234060719356</v>
      </c>
      <c r="E160" s="14" t="s">
        <v>115</v>
      </c>
      <c r="F160" s="14">
        <f>D114*3600*8000*0.001</f>
        <v>1171374.4686906452</v>
      </c>
      <c r="G160" s="14">
        <v>30</v>
      </c>
      <c r="H160" s="13"/>
      <c r="I160" s="13"/>
      <c r="J160" s="13"/>
      <c r="K160" s="13"/>
      <c r="L160" s="13"/>
      <c r="M160" s="13"/>
    </row>
    <row r="161" spans="3:13" x14ac:dyDescent="0.25">
      <c r="C161" s="14" t="s">
        <v>131</v>
      </c>
      <c r="D161" s="14">
        <f>F161*G161*0.000001</f>
        <v>25.418825970586994</v>
      </c>
      <c r="E161" s="14" t="s">
        <v>116</v>
      </c>
      <c r="F161" s="14">
        <f>D110*3.6*14*8000</f>
        <v>81996212.808345154</v>
      </c>
      <c r="G161" s="14">
        <v>0.31</v>
      </c>
      <c r="H161" s="13"/>
      <c r="I161" s="13"/>
      <c r="J161" s="13"/>
      <c r="K161" s="13"/>
      <c r="L161" s="13"/>
      <c r="M161" s="13"/>
    </row>
    <row r="162" spans="3:13" x14ac:dyDescent="0.25">
      <c r="C162" s="14" t="s">
        <v>132</v>
      </c>
      <c r="D162" s="14">
        <f>F162*G162*0.000001</f>
        <v>5.7889326242691679</v>
      </c>
      <c r="E162" s="14" t="s">
        <v>116</v>
      </c>
      <c r="F162" s="14">
        <f>F161</f>
        <v>81996212.808345154</v>
      </c>
      <c r="G162" s="14">
        <v>7.0599999999999996E-2</v>
      </c>
      <c r="H162" s="13"/>
      <c r="I162" s="13"/>
      <c r="J162" s="13"/>
      <c r="K162" s="13"/>
      <c r="L162" s="13"/>
      <c r="M162" s="13"/>
    </row>
    <row r="163" spans="3:13" x14ac:dyDescent="0.25">
      <c r="C163" s="14" t="s">
        <v>133</v>
      </c>
      <c r="D163" s="14">
        <f>F163*G163*0.000001</f>
        <v>21.084740436431609</v>
      </c>
      <c r="E163" s="14" t="s">
        <v>122</v>
      </c>
      <c r="F163" s="14">
        <f>D132*8000</f>
        <v>210847404.36431608</v>
      </c>
      <c r="G163" s="14">
        <v>0.1</v>
      </c>
      <c r="H163" s="13"/>
      <c r="I163" s="13"/>
      <c r="J163" s="13"/>
      <c r="K163" s="13"/>
      <c r="L163" s="13"/>
      <c r="M163" s="13"/>
    </row>
    <row r="164" spans="3:13" x14ac:dyDescent="0.25">
      <c r="C164" s="28" t="s">
        <v>123</v>
      </c>
      <c r="D164" s="28">
        <f>SUM(D165:D167)</f>
        <v>15.004475957106546</v>
      </c>
      <c r="E164" s="13"/>
      <c r="F164" s="3"/>
      <c r="G164" s="13"/>
      <c r="H164" s="13"/>
      <c r="I164" s="13"/>
      <c r="J164" s="13"/>
      <c r="K164" s="13"/>
      <c r="L164" s="13"/>
      <c r="M164" s="13"/>
    </row>
    <row r="165" spans="3:13" x14ac:dyDescent="0.25">
      <c r="C165" s="14" t="s">
        <v>124</v>
      </c>
      <c r="D165" s="14">
        <f>0.02*SUM(D141:D144)</f>
        <v>9.2005971314433008</v>
      </c>
      <c r="E165" s="26">
        <v>0.02</v>
      </c>
      <c r="F165" s="14" t="s">
        <v>163</v>
      </c>
      <c r="G165" s="14"/>
      <c r="H165" s="13"/>
      <c r="I165" s="13"/>
      <c r="J165" s="13"/>
      <c r="K165" s="13"/>
      <c r="L165" s="13"/>
      <c r="M165" s="13"/>
    </row>
    <row r="166" spans="3:13" x14ac:dyDescent="0.25">
      <c r="C166" s="14" t="s">
        <v>125</v>
      </c>
      <c r="D166" s="14">
        <f>0.01*SUM(D141:D144)</f>
        <v>4.6002985657216504</v>
      </c>
      <c r="E166" s="26">
        <v>0.01</v>
      </c>
      <c r="F166" s="14" t="s">
        <v>163</v>
      </c>
      <c r="G166" s="14"/>
      <c r="H166" s="13"/>
      <c r="I166" s="13"/>
      <c r="J166" s="13"/>
      <c r="K166" s="13"/>
      <c r="L166" s="13"/>
      <c r="M166" s="13"/>
    </row>
    <row r="167" spans="3:13" x14ac:dyDescent="0.25">
      <c r="C167" s="14" t="s">
        <v>126</v>
      </c>
      <c r="D167" s="14">
        <f>0.01*SUM(D142:D145)</f>
        <v>1.2035802599415957</v>
      </c>
      <c r="E167" s="26">
        <v>0.01</v>
      </c>
      <c r="F167" s="14" t="s">
        <v>163</v>
      </c>
      <c r="G167" s="14"/>
      <c r="H167" s="13"/>
      <c r="I167" s="13"/>
      <c r="J167" s="13"/>
      <c r="K167" s="13"/>
      <c r="L167" s="13"/>
      <c r="M167" s="13"/>
    </row>
    <row r="168" spans="3:13" x14ac:dyDescent="0.25">
      <c r="C168" s="28" t="s">
        <v>134</v>
      </c>
      <c r="D168" s="28">
        <f>D164+D156</f>
        <v>336.71310278724275</v>
      </c>
      <c r="E168" s="13"/>
      <c r="F168" s="13"/>
      <c r="G168" s="13"/>
      <c r="H168" s="13"/>
      <c r="I168" s="13"/>
      <c r="J168" s="13"/>
      <c r="K168" s="13"/>
      <c r="L168" s="13"/>
      <c r="M168" s="13"/>
    </row>
    <row r="170" spans="3:13" x14ac:dyDescent="0.25">
      <c r="C170" s="2"/>
    </row>
    <row r="171" spans="3:13" x14ac:dyDescent="0.25">
      <c r="C171" s="2"/>
    </row>
    <row r="172" spans="3:13" x14ac:dyDescent="0.25">
      <c r="C172" s="2"/>
    </row>
    <row r="173" spans="3:13" x14ac:dyDescent="0.25">
      <c r="C173" s="2"/>
    </row>
    <row r="174" spans="3:13" x14ac:dyDescent="0.25">
      <c r="C174" s="2"/>
    </row>
    <row r="175" spans="3:13" x14ac:dyDescent="0.25">
      <c r="C175" s="2"/>
    </row>
    <row r="176" spans="3:1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</sheetData>
  <mergeCells count="10">
    <mergeCell ref="F147:M147"/>
    <mergeCell ref="F148:M148"/>
    <mergeCell ref="F149:M149"/>
    <mergeCell ref="F150:M150"/>
    <mergeCell ref="F151:M151"/>
    <mergeCell ref="F142:M142"/>
    <mergeCell ref="F143:M143"/>
    <mergeCell ref="F144:M144"/>
    <mergeCell ref="F145:M145"/>
    <mergeCell ref="F146:M14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288B6-4E5C-496E-AD76-B552CD6DBDC5}">
  <sheetPr codeName="Sheet1"/>
  <dimension ref="C3:AG18"/>
  <sheetViews>
    <sheetView tabSelected="1" workbookViewId="0">
      <selection activeCell="C50" sqref="C50"/>
    </sheetView>
  </sheetViews>
  <sheetFormatPr defaultRowHeight="15" x14ac:dyDescent="0.25"/>
  <cols>
    <col min="3" max="3" width="29.140625" customWidth="1"/>
    <col min="4" max="4" width="10.7109375" customWidth="1"/>
    <col min="5" max="5" width="10.5703125" bestFit="1" customWidth="1"/>
    <col min="10" max="10" width="10.5703125" bestFit="1" customWidth="1"/>
  </cols>
  <sheetData>
    <row r="3" spans="3:33" x14ac:dyDescent="0.25">
      <c r="D3" t="s">
        <v>194</v>
      </c>
      <c r="J3" t="s">
        <v>193</v>
      </c>
    </row>
    <row r="4" spans="3:33" x14ac:dyDescent="0.25">
      <c r="C4" t="s">
        <v>195</v>
      </c>
      <c r="D4">
        <f>Caculation_check!D6</f>
        <v>500</v>
      </c>
      <c r="E4">
        <v>100</v>
      </c>
      <c r="F4">
        <v>150</v>
      </c>
      <c r="G4">
        <v>300</v>
      </c>
      <c r="H4">
        <v>500</v>
      </c>
      <c r="J4">
        <v>100</v>
      </c>
      <c r="K4">
        <v>150</v>
      </c>
      <c r="L4">
        <v>300</v>
      </c>
      <c r="M4">
        <v>500</v>
      </c>
    </row>
    <row r="5" spans="3:33" x14ac:dyDescent="0.25">
      <c r="C5" t="s">
        <v>180</v>
      </c>
      <c r="D5" s="33">
        <f>Caculation_check!D110*3.6</f>
        <v>732.10904293165311</v>
      </c>
      <c r="E5" s="33">
        <v>158.10764224263224</v>
      </c>
      <c r="F5" s="33">
        <v>229.85781732875984</v>
      </c>
      <c r="G5" s="33">
        <v>445.1083425871426</v>
      </c>
      <c r="H5" s="33">
        <v>732.10904293165311</v>
      </c>
      <c r="J5" s="33">
        <v>158.23699999999999</v>
      </c>
      <c r="K5">
        <v>230.042</v>
      </c>
      <c r="L5">
        <v>445.45800000000003</v>
      </c>
      <c r="M5">
        <v>732.67899999999997</v>
      </c>
      <c r="O5" s="32">
        <f>ABS(J5-E5)/E5</f>
        <v>8.1816258552033848E-4</v>
      </c>
      <c r="P5" s="32">
        <f t="shared" ref="P5:R5" si="0">ABS(K5-F5)/F5</f>
        <v>8.0128956839755283E-4</v>
      </c>
      <c r="Q5" s="32">
        <f t="shared" si="0"/>
        <v>7.8555573868842928E-4</v>
      </c>
      <c r="R5" s="32">
        <f t="shared" si="0"/>
        <v>7.7851390288055146E-4</v>
      </c>
      <c r="Y5">
        <f>AD7</f>
        <v>732.67899999999997</v>
      </c>
      <c r="Z5" t="s">
        <v>196</v>
      </c>
      <c r="AA5" t="s">
        <v>197</v>
      </c>
      <c r="AB5" t="s">
        <v>198</v>
      </c>
      <c r="AC5" t="s">
        <v>181</v>
      </c>
      <c r="AD5">
        <v>20.3522</v>
      </c>
      <c r="AE5">
        <v>61.056600000000003</v>
      </c>
      <c r="AF5">
        <v>81.408699999999996</v>
      </c>
      <c r="AG5">
        <v>40.7044</v>
      </c>
    </row>
    <row r="6" spans="3:33" x14ac:dyDescent="0.25">
      <c r="C6" t="s">
        <v>182</v>
      </c>
      <c r="D6" s="33">
        <f>Caculation_check!D121</f>
        <v>1893.7296838524071</v>
      </c>
      <c r="E6" s="33">
        <v>408.97341488888213</v>
      </c>
      <c r="F6" s="33">
        <v>594.56794850932283</v>
      </c>
      <c r="G6" s="33">
        <v>1151.3515493706445</v>
      </c>
      <c r="H6" s="33">
        <v>1893.7296838524071</v>
      </c>
      <c r="J6" s="33">
        <v>409.30799999999999</v>
      </c>
      <c r="K6">
        <v>595.04499999999996</v>
      </c>
      <c r="L6">
        <v>1152.26</v>
      </c>
      <c r="M6">
        <v>1895.2</v>
      </c>
      <c r="O6" s="32">
        <f t="shared" ref="O6:O9" si="1">ABS(J6-E6)/E6</f>
        <v>8.1810968375234611E-4</v>
      </c>
      <c r="P6" s="32">
        <f t="shared" ref="P6:P9" si="2">ABS(K6-F6)/F6</f>
        <v>8.0234982708565338E-4</v>
      </c>
      <c r="Q6" s="32">
        <f t="shared" ref="Q6:Q9" si="3">ABS(L6-G6)/G6</f>
        <v>7.8902975364217559E-4</v>
      </c>
      <c r="R6" s="32">
        <f t="shared" ref="R6:R9" si="4">ABS(M6-H6)/H6</f>
        <v>7.7641289574226907E-4</v>
      </c>
      <c r="Y6">
        <f>AD8</f>
        <v>1895.2</v>
      </c>
      <c r="Z6" t="s">
        <v>196</v>
      </c>
      <c r="AA6" t="s">
        <v>197</v>
      </c>
      <c r="AB6" t="s">
        <v>199</v>
      </c>
      <c r="AC6" t="s">
        <v>181</v>
      </c>
      <c r="AD6">
        <v>205.06899999999999</v>
      </c>
      <c r="AE6">
        <v>620.99199999999996</v>
      </c>
      <c r="AF6">
        <v>735.64099999999996</v>
      </c>
      <c r="AG6">
        <v>333.50099999999998</v>
      </c>
    </row>
    <row r="7" spans="3:33" x14ac:dyDescent="0.25">
      <c r="C7" t="s">
        <v>185</v>
      </c>
      <c r="D7" s="33">
        <f>Caculation_check!D152</f>
        <v>872.55749018454492</v>
      </c>
      <c r="E7" s="33">
        <v>319.71013800227092</v>
      </c>
      <c r="F7" s="33">
        <v>407.89386195558916</v>
      </c>
      <c r="G7" s="33">
        <v>628.71501504486548</v>
      </c>
      <c r="H7" s="33">
        <v>872.55749018454492</v>
      </c>
      <c r="J7" s="33">
        <v>317.94200000000001</v>
      </c>
      <c r="K7">
        <v>405.64499999999998</v>
      </c>
      <c r="L7">
        <v>625.27</v>
      </c>
      <c r="M7">
        <v>867.80099999999993</v>
      </c>
      <c r="O7" s="32">
        <f t="shared" si="1"/>
        <v>5.5304408340606237E-3</v>
      </c>
      <c r="P7" s="32">
        <f t="shared" si="2"/>
        <v>5.5133508133888755E-3</v>
      </c>
      <c r="Q7" s="32">
        <f t="shared" si="3"/>
        <v>5.4794540649226601E-3</v>
      </c>
      <c r="R7" s="32">
        <f t="shared" si="4"/>
        <v>5.4512054942522977E-3</v>
      </c>
      <c r="Y7" s="33">
        <f>AD11*0.000001</f>
        <v>867.80099999999993</v>
      </c>
      <c r="Z7" t="s">
        <v>196</v>
      </c>
      <c r="AA7" t="s">
        <v>197</v>
      </c>
      <c r="AB7" t="s">
        <v>180</v>
      </c>
      <c r="AC7" t="s">
        <v>181</v>
      </c>
      <c r="AD7">
        <v>732.67899999999997</v>
      </c>
    </row>
    <row r="8" spans="3:33" x14ac:dyDescent="0.25">
      <c r="C8" t="s">
        <v>191</v>
      </c>
      <c r="D8" s="33">
        <f>Caculation_check!D168</f>
        <v>336.71310278724275</v>
      </c>
      <c r="E8" s="33">
        <v>74.974525765436226</v>
      </c>
      <c r="F8" s="33">
        <v>108.01990933165133</v>
      </c>
      <c r="G8" s="33">
        <v>206.40407976237222</v>
      </c>
      <c r="H8" s="33">
        <v>336.71310278724275</v>
      </c>
      <c r="J8" s="33">
        <v>76.500799999999998</v>
      </c>
      <c r="K8">
        <v>110.014</v>
      </c>
      <c r="L8">
        <v>209.62799999999999</v>
      </c>
      <c r="M8">
        <v>341.37799999999999</v>
      </c>
      <c r="O8" s="32">
        <f t="shared" si="1"/>
        <v>2.0357237594791095E-2</v>
      </c>
      <c r="P8" s="32">
        <f t="shared" si="2"/>
        <v>1.8460399390136918E-2</v>
      </c>
      <c r="Q8" s="32">
        <f t="shared" si="3"/>
        <v>1.561945985437586E-2</v>
      </c>
      <c r="R8" s="32">
        <f t="shared" si="4"/>
        <v>1.3854219435306101E-2</v>
      </c>
      <c r="Y8" s="33">
        <f>AD17*0.000001</f>
        <v>341.37799999999999</v>
      </c>
      <c r="Z8" t="s">
        <v>196</v>
      </c>
      <c r="AA8" t="s">
        <v>197</v>
      </c>
      <c r="AB8" t="s">
        <v>182</v>
      </c>
      <c r="AC8" t="s">
        <v>181</v>
      </c>
      <c r="AD8">
        <v>1895.2</v>
      </c>
    </row>
    <row r="9" spans="3:33" x14ac:dyDescent="0.25">
      <c r="C9" t="s">
        <v>192</v>
      </c>
      <c r="D9" s="33">
        <f>Caculation_check!D156</f>
        <v>321.70862683013621</v>
      </c>
      <c r="E9" s="33">
        <v>69.476798529281609</v>
      </c>
      <c r="F9" s="33">
        <v>101.00577706688841</v>
      </c>
      <c r="G9" s="33">
        <v>195.59271267970882</v>
      </c>
      <c r="H9" s="33">
        <v>321.70862683013621</v>
      </c>
      <c r="J9" s="33">
        <v>69.745599999999996</v>
      </c>
      <c r="K9">
        <v>101.395</v>
      </c>
      <c r="L9">
        <v>196.34299999999999</v>
      </c>
      <c r="M9">
        <v>322.94</v>
      </c>
      <c r="O9" s="32">
        <f t="shared" si="1"/>
        <v>3.8689386443892925E-3</v>
      </c>
      <c r="P9" s="32">
        <f t="shared" si="2"/>
        <v>3.8534719935259766E-3</v>
      </c>
      <c r="Q9" s="32">
        <f t="shared" si="3"/>
        <v>3.8359676595916482E-3</v>
      </c>
      <c r="R9" s="32">
        <f t="shared" si="4"/>
        <v>3.8276038227409983E-3</v>
      </c>
      <c r="Y9" s="33">
        <f>AD18*0.000001</f>
        <v>322.94</v>
      </c>
      <c r="Z9" t="s">
        <v>196</v>
      </c>
      <c r="AA9" t="s">
        <v>197</v>
      </c>
      <c r="AB9" t="s">
        <v>183</v>
      </c>
      <c r="AC9" t="s">
        <v>181</v>
      </c>
      <c r="AD9">
        <v>70</v>
      </c>
    </row>
    <row r="10" spans="3:33" x14ac:dyDescent="0.25">
      <c r="Z10" t="s">
        <v>196</v>
      </c>
      <c r="AA10" t="s">
        <v>197</v>
      </c>
      <c r="AB10" t="s">
        <v>184</v>
      </c>
      <c r="AC10" t="s">
        <v>181</v>
      </c>
      <c r="AD10">
        <v>500</v>
      </c>
    </row>
    <row r="11" spans="3:33" x14ac:dyDescent="0.25">
      <c r="Z11" t="s">
        <v>196</v>
      </c>
      <c r="AA11" t="s">
        <v>197</v>
      </c>
      <c r="AB11" t="s">
        <v>185</v>
      </c>
      <c r="AC11" t="s">
        <v>181</v>
      </c>
      <c r="AD11" s="32">
        <v>867801000</v>
      </c>
    </row>
    <row r="12" spans="3:33" x14ac:dyDescent="0.25">
      <c r="Z12" t="s">
        <v>196</v>
      </c>
      <c r="AA12" t="s">
        <v>197</v>
      </c>
      <c r="AB12" t="s">
        <v>186</v>
      </c>
      <c r="AC12" t="s">
        <v>181</v>
      </c>
      <c r="AD12" s="32">
        <v>301839000</v>
      </c>
    </row>
    <row r="13" spans="3:33" x14ac:dyDescent="0.25">
      <c r="Z13" t="s">
        <v>196</v>
      </c>
      <c r="AA13" t="s">
        <v>197</v>
      </c>
      <c r="AB13" t="s">
        <v>187</v>
      </c>
      <c r="AC13" t="s">
        <v>181</v>
      </c>
      <c r="AD13" s="32">
        <v>21101100</v>
      </c>
    </row>
    <row r="14" spans="3:33" x14ac:dyDescent="0.25">
      <c r="Z14" t="s">
        <v>196</v>
      </c>
      <c r="AA14" t="s">
        <v>197</v>
      </c>
      <c r="AB14" t="s">
        <v>188</v>
      </c>
      <c r="AC14" t="s">
        <v>181</v>
      </c>
      <c r="AD14" s="32">
        <v>9218860</v>
      </c>
    </row>
    <row r="15" spans="3:33" x14ac:dyDescent="0.25">
      <c r="Z15" t="s">
        <v>196</v>
      </c>
      <c r="AA15" t="s">
        <v>197</v>
      </c>
      <c r="AB15" t="s">
        <v>189</v>
      </c>
      <c r="AC15" t="s">
        <v>181</v>
      </c>
      <c r="AD15" s="32">
        <v>4609430</v>
      </c>
    </row>
    <row r="16" spans="3:33" x14ac:dyDescent="0.25">
      <c r="Z16" t="s">
        <v>196</v>
      </c>
      <c r="AA16" t="s">
        <v>197</v>
      </c>
      <c r="AB16" t="s">
        <v>190</v>
      </c>
      <c r="AC16" t="s">
        <v>181</v>
      </c>
      <c r="AD16" s="32">
        <v>4609430</v>
      </c>
    </row>
    <row r="17" spans="26:30" x14ac:dyDescent="0.25">
      <c r="Z17" t="s">
        <v>196</v>
      </c>
      <c r="AA17" t="s">
        <v>197</v>
      </c>
      <c r="AB17" t="s">
        <v>191</v>
      </c>
      <c r="AC17" t="s">
        <v>181</v>
      </c>
      <c r="AD17" s="32">
        <v>341378000</v>
      </c>
    </row>
    <row r="18" spans="26:30" x14ac:dyDescent="0.25">
      <c r="Z18" t="s">
        <v>196</v>
      </c>
      <c r="AA18" t="s">
        <v>197</v>
      </c>
      <c r="AB18" t="s">
        <v>192</v>
      </c>
      <c r="AC18" t="s">
        <v>181</v>
      </c>
      <c r="AD18" s="32">
        <v>322940000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mplafyTemplateConfiguration><![CDATA[{"transformationConfigurations":[],"templateName":"SINTEF-Blank spreadsheet","templateDescription":"","enableDocumentContentUpdater":false,"version":"2.0"}]]></TemplafyTemplateConfiguration>
</file>

<file path=customXml/item2.xml><?xml version="1.0" encoding="utf-8"?>
<TemplafyFormConfiguration><![CDATA[{"formFields":[],"formDataEntries":[]}]]></TemplafyFormConfiguration>
</file>

<file path=customXml/itemProps1.xml><?xml version="1.0" encoding="utf-8"?>
<ds:datastoreItem xmlns:ds="http://schemas.openxmlformats.org/officeDocument/2006/customXml" ds:itemID="{7EEF91AC-9A48-4798-9A9B-96FF81E5CF8B}">
  <ds:schemaRefs/>
</ds:datastoreItem>
</file>

<file path=customXml/itemProps2.xml><?xml version="1.0" encoding="utf-8"?>
<ds:datastoreItem xmlns:ds="http://schemas.openxmlformats.org/officeDocument/2006/customXml" ds:itemID="{129FB90B-22C5-4FE6-9366-00B069FEE7D4}">
  <ds:schemaRefs/>
</ds:datastoreItem>
</file>

<file path=docMetadata/LabelInfo.xml><?xml version="1.0" encoding="utf-8"?>
<clbl:labelList xmlns:clbl="http://schemas.microsoft.com/office/2020/mipLabelMetadata">
  <clbl:label id="{e1f00f39-6041-45b0-b309-e0210d8b32af}" enabled="0" method="" siteId="{e1f00f39-6041-45b0-b309-e0210d8b32a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Caculation_check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del Alamo Serrano</dc:creator>
  <cp:lastModifiedBy>Gonzalo del Alamo Serrano</cp:lastModifiedBy>
  <dcterms:created xsi:type="dcterms:W3CDTF">2025-09-19T13:30:58Z</dcterms:created>
  <dcterms:modified xsi:type="dcterms:W3CDTF">2025-12-05T14:40:23Z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fyTenantId">
    <vt:lpwstr>sintef</vt:lpwstr>
  </property>
  <property fmtid="{D5CDD505-2E9C-101B-9397-08002B2CF9AE}" pid="3" name="TemplafyTemplateId">
    <vt:lpwstr>740326090642817258</vt:lpwstr>
  </property>
  <property fmtid="{D5CDD505-2E9C-101B-9397-08002B2CF9AE}" pid="4" name="TemplafyUserProfileId">
    <vt:lpwstr>638222359021562851</vt:lpwstr>
  </property>
  <property fmtid="{D5CDD505-2E9C-101B-9397-08002B2CF9AE}" pid="5" name="TemplafyLanguageCode">
    <vt:lpwstr>nb-NO</vt:lpwstr>
  </property>
  <property fmtid="{D5CDD505-2E9C-101B-9397-08002B2CF9AE}" pid="6" name="TemplafyFromBlank">
    <vt:bool>true</vt:bool>
  </property>
</Properties>
</file>